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Meu Drive\@Tabelas de preços\marcas\Castelli\"/>
    </mc:Choice>
  </mc:AlternateContent>
  <xr:revisionPtr revIDLastSave="0" documentId="13_ncr:1_{B3FB8663-C466-4C29-A348-EDA9E083B075}" xr6:coauthVersionLast="47" xr6:coauthVersionMax="47" xr10:uidLastSave="{00000000-0000-0000-0000-000000000000}"/>
  <bookViews>
    <workbookView xWindow="0" yWindow="0" windowWidth="23040" windowHeight="12960" activeTab="1" xr2:uid="{00000000-000D-0000-FFFF-FFFF00000000}"/>
  </bookViews>
  <sheets>
    <sheet name="Tabela Geral NP" sheetId="1" r:id="rId1"/>
    <sheet name="Mosaic" sheetId="3" r:id="rId2"/>
    <sheet name="Planilha1" sheetId="2" state="hidden" r:id="rId3"/>
  </sheets>
  <definedNames>
    <definedName name="_xlnm._FilterDatabase" localSheetId="1" hidden="1">Mosaic!$A$5:$L$158</definedName>
    <definedName name="_xlnm._FilterDatabase" localSheetId="0" hidden="1">'Tabela Geral NP'!$A$2:$K$232</definedName>
    <definedName name="tabelas">Planilha1!$G$3:$L$199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3" l="1"/>
  <c r="L39" i="3"/>
  <c r="L40" i="3"/>
  <c r="L133" i="3"/>
  <c r="L134" i="3"/>
  <c r="L116" i="3"/>
  <c r="L21" i="3"/>
  <c r="L22" i="3"/>
  <c r="L140" i="3"/>
  <c r="L141" i="3"/>
  <c r="L71" i="3"/>
  <c r="L74" i="3"/>
  <c r="L75" i="3"/>
  <c r="L76" i="3"/>
  <c r="L77" i="3"/>
  <c r="L78" i="3"/>
  <c r="L102" i="3"/>
  <c r="L103" i="3"/>
  <c r="L104" i="3"/>
  <c r="L105" i="3"/>
  <c r="L106" i="3"/>
  <c r="L154" i="3"/>
  <c r="L155" i="3"/>
  <c r="K108" i="3"/>
  <c r="L108" i="3" s="1"/>
  <c r="K158" i="3"/>
  <c r="L158" i="3" s="1"/>
  <c r="K157" i="3"/>
  <c r="L157" i="3" s="1"/>
  <c r="K156" i="3"/>
  <c r="L156" i="3" s="1"/>
  <c r="K107" i="3"/>
  <c r="L107" i="3" s="1"/>
  <c r="K153" i="3"/>
  <c r="L153" i="3" s="1"/>
  <c r="K152" i="3"/>
  <c r="L152" i="3" s="1"/>
  <c r="K151" i="3"/>
  <c r="L151" i="3" s="1"/>
  <c r="K150" i="3"/>
  <c r="L150" i="3" s="1"/>
  <c r="K149" i="3"/>
  <c r="L149" i="3" s="1"/>
  <c r="K148" i="3"/>
  <c r="L148" i="3" s="1"/>
  <c r="K147" i="3"/>
  <c r="L147" i="3" s="1"/>
  <c r="K146" i="3"/>
  <c r="L146" i="3" s="1"/>
  <c r="K101" i="3"/>
  <c r="L101" i="3" s="1"/>
  <c r="K100" i="3"/>
  <c r="L100" i="3" s="1"/>
  <c r="K99" i="3"/>
  <c r="L99" i="3" s="1"/>
  <c r="K98" i="3"/>
  <c r="L98" i="3" s="1"/>
  <c r="K97" i="3"/>
  <c r="L97" i="3" s="1"/>
  <c r="K96" i="3"/>
  <c r="L96" i="3" s="1"/>
  <c r="K95" i="3"/>
  <c r="L95" i="3" s="1"/>
  <c r="K94" i="3"/>
  <c r="L94" i="3" s="1"/>
  <c r="K93" i="3"/>
  <c r="L93" i="3" s="1"/>
  <c r="K92" i="3"/>
  <c r="L92" i="3" s="1"/>
  <c r="K91" i="3"/>
  <c r="L91" i="3" s="1"/>
  <c r="K90" i="3"/>
  <c r="L90" i="3" s="1"/>
  <c r="K89" i="3"/>
  <c r="L89" i="3" s="1"/>
  <c r="K88" i="3"/>
  <c r="L88" i="3" s="1"/>
  <c r="K87" i="3"/>
  <c r="L87" i="3" s="1"/>
  <c r="K86" i="3"/>
  <c r="L86" i="3" s="1"/>
  <c r="K85" i="3"/>
  <c r="L85" i="3" s="1"/>
  <c r="K84" i="3"/>
  <c r="L84" i="3" s="1"/>
  <c r="K83" i="3"/>
  <c r="L83" i="3" s="1"/>
  <c r="K145" i="3"/>
  <c r="L145" i="3" s="1"/>
  <c r="K144" i="3"/>
  <c r="L144" i="3" s="1"/>
  <c r="K143" i="3"/>
  <c r="L143" i="3" s="1"/>
  <c r="K142" i="3"/>
  <c r="L142" i="3" s="1"/>
  <c r="K62" i="3"/>
  <c r="L62" i="3" s="1"/>
  <c r="K61" i="3"/>
  <c r="L61" i="3" s="1"/>
  <c r="K60" i="3"/>
  <c r="L60" i="3" s="1"/>
  <c r="K59" i="3"/>
  <c r="L59" i="3" s="1"/>
  <c r="K58" i="3"/>
  <c r="L58" i="3" s="1"/>
  <c r="K57" i="3"/>
  <c r="L57" i="3" s="1"/>
  <c r="K56" i="3"/>
  <c r="L56" i="3" s="1"/>
  <c r="K55" i="3"/>
  <c r="L55" i="3" s="1"/>
  <c r="K54" i="3"/>
  <c r="L54" i="3" s="1"/>
  <c r="K53" i="3"/>
  <c r="L53" i="3" s="1"/>
  <c r="K52" i="3"/>
  <c r="L52" i="3" s="1"/>
  <c r="K51" i="3"/>
  <c r="L51" i="3" s="1"/>
  <c r="K73" i="3"/>
  <c r="L73" i="3" s="1"/>
  <c r="K72" i="3"/>
  <c r="L72" i="3" s="1"/>
  <c r="K70" i="3"/>
  <c r="L70" i="3" s="1"/>
  <c r="K69" i="3"/>
  <c r="L69" i="3" s="1"/>
  <c r="K68" i="3"/>
  <c r="L68" i="3" s="1"/>
  <c r="K67" i="3"/>
  <c r="L67" i="3" s="1"/>
  <c r="K66" i="3"/>
  <c r="L66" i="3" s="1"/>
  <c r="K65" i="3"/>
  <c r="L65" i="3" s="1"/>
  <c r="K64" i="3"/>
  <c r="L64" i="3" s="1"/>
  <c r="K63" i="3"/>
  <c r="L63" i="3" s="1"/>
  <c r="K139" i="3"/>
  <c r="L139" i="3" s="1"/>
  <c r="K138" i="3"/>
  <c r="L138" i="3" s="1"/>
  <c r="K137" i="3"/>
  <c r="L137" i="3" s="1"/>
  <c r="K136" i="3"/>
  <c r="L136" i="3" s="1"/>
  <c r="K135" i="3"/>
  <c r="L135" i="3" s="1"/>
  <c r="K20" i="3"/>
  <c r="L20" i="3" s="1"/>
  <c r="K19" i="3"/>
  <c r="L19" i="3" s="1"/>
  <c r="K18" i="3"/>
  <c r="L18" i="3" s="1"/>
  <c r="K17" i="3"/>
  <c r="L17" i="3" s="1"/>
  <c r="K16" i="3"/>
  <c r="L16" i="3" s="1"/>
  <c r="K15" i="3"/>
  <c r="L15" i="3" s="1"/>
  <c r="K14" i="3"/>
  <c r="L14" i="3" s="1"/>
  <c r="K13" i="3"/>
  <c r="L13" i="3" s="1"/>
  <c r="K12" i="3"/>
  <c r="L12" i="3" s="1"/>
  <c r="K11" i="3"/>
  <c r="L11" i="3" s="1"/>
  <c r="K10" i="3"/>
  <c r="L10" i="3" s="1"/>
  <c r="K9" i="3"/>
  <c r="L9" i="3" s="1"/>
  <c r="K8" i="3"/>
  <c r="L8" i="3" s="1"/>
  <c r="K7" i="3"/>
  <c r="L7" i="3" s="1"/>
  <c r="K6" i="3"/>
  <c r="L6" i="3" s="1"/>
  <c r="K115" i="3"/>
  <c r="L115" i="3" s="1"/>
  <c r="K114" i="3"/>
  <c r="L114" i="3" s="1"/>
  <c r="K113" i="3"/>
  <c r="L113" i="3" s="1"/>
  <c r="K112" i="3"/>
  <c r="L112" i="3" s="1"/>
  <c r="K111" i="3"/>
  <c r="L111" i="3" s="1"/>
  <c r="K110" i="3"/>
  <c r="L110" i="3" s="1"/>
  <c r="K109" i="3"/>
  <c r="L109" i="3" s="1"/>
  <c r="K132" i="3"/>
  <c r="L132" i="3" s="1"/>
  <c r="K131" i="3"/>
  <c r="L131" i="3" s="1"/>
  <c r="K130" i="3"/>
  <c r="L130" i="3" s="1"/>
  <c r="K129" i="3"/>
  <c r="L129" i="3" s="1"/>
  <c r="K128" i="3"/>
  <c r="L128" i="3" s="1"/>
  <c r="K127" i="3"/>
  <c r="L127" i="3" s="1"/>
  <c r="K126" i="3"/>
  <c r="L126" i="3" s="1"/>
  <c r="K125" i="3"/>
  <c r="L125" i="3" s="1"/>
  <c r="K124" i="3"/>
  <c r="L124" i="3" s="1"/>
  <c r="K123" i="3"/>
  <c r="L123" i="3" s="1"/>
  <c r="K122" i="3"/>
  <c r="L122" i="3" s="1"/>
  <c r="K121" i="3"/>
  <c r="L121" i="3" s="1"/>
  <c r="K120" i="3"/>
  <c r="L120" i="3" s="1"/>
  <c r="K119" i="3"/>
  <c r="L119" i="3" s="1"/>
  <c r="K118" i="3"/>
  <c r="L118" i="3" s="1"/>
  <c r="K117" i="3"/>
  <c r="L117" i="3" s="1"/>
  <c r="K35" i="3"/>
  <c r="L35" i="3" s="1"/>
  <c r="K34" i="3"/>
  <c r="L34" i="3" s="1"/>
  <c r="K27" i="3"/>
  <c r="L27" i="3" s="1"/>
  <c r="K25" i="3"/>
  <c r="L25" i="3" s="1"/>
  <c r="K37" i="3"/>
  <c r="L37" i="3" s="1"/>
  <c r="K36" i="3"/>
  <c r="L36" i="3" s="1"/>
  <c r="K33" i="3"/>
  <c r="L33" i="3" s="1"/>
  <c r="K32" i="3"/>
  <c r="L32" i="3" s="1"/>
  <c r="K31" i="3"/>
  <c r="L31" i="3" s="1"/>
  <c r="K30" i="3"/>
  <c r="L30" i="3" s="1"/>
  <c r="K29" i="3"/>
  <c r="L29" i="3" s="1"/>
  <c r="K28" i="3"/>
  <c r="L28" i="3" s="1"/>
  <c r="K26" i="3"/>
  <c r="L26" i="3" s="1"/>
  <c r="K24" i="3"/>
  <c r="L24" i="3" s="1"/>
  <c r="K23" i="3"/>
  <c r="L23" i="3" s="1"/>
  <c r="K50" i="3"/>
  <c r="L50" i="3" s="1"/>
  <c r="K49" i="3"/>
  <c r="L49" i="3" s="1"/>
  <c r="K48" i="3"/>
  <c r="L48" i="3" s="1"/>
  <c r="K47" i="3"/>
  <c r="L47" i="3" s="1"/>
  <c r="K46" i="3"/>
  <c r="L46" i="3" s="1"/>
  <c r="K45" i="3"/>
  <c r="L45" i="3" s="1"/>
  <c r="K44" i="3"/>
  <c r="L44" i="3" s="1"/>
  <c r="K43" i="3"/>
  <c r="L43" i="3" s="1"/>
  <c r="K42" i="3"/>
  <c r="L42" i="3" s="1"/>
  <c r="K41" i="3"/>
  <c r="L41" i="3" s="1"/>
  <c r="K82" i="3"/>
  <c r="L82" i="3" s="1"/>
  <c r="K81" i="3"/>
  <c r="L81" i="3" s="1"/>
  <c r="K80" i="3"/>
  <c r="L80" i="3" s="1"/>
  <c r="K79" i="3"/>
  <c r="L79" i="3" s="1"/>
  <c r="A79" i="1"/>
  <c r="K193" i="1"/>
  <c r="K192" i="1"/>
  <c r="K191" i="1"/>
  <c r="K159" i="1"/>
  <c r="K158" i="1"/>
  <c r="K157" i="1"/>
  <c r="K156" i="1"/>
  <c r="K155" i="1"/>
  <c r="K154" i="1"/>
  <c r="K232" i="1" l="1"/>
  <c r="K226" i="1"/>
  <c r="K225" i="1"/>
  <c r="K224" i="1"/>
  <c r="K218" i="1"/>
  <c r="K211" i="1"/>
  <c r="K210" i="1"/>
  <c r="K209" i="1"/>
  <c r="K208" i="1"/>
  <c r="K207" i="1"/>
  <c r="K206" i="1"/>
  <c r="K205" i="1"/>
  <c r="K204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68" i="1"/>
  <c r="K167" i="1"/>
  <c r="K166" i="1"/>
  <c r="K165" i="1"/>
  <c r="K153" i="1"/>
  <c r="K152" i="1"/>
  <c r="K151" i="1"/>
  <c r="K150" i="1"/>
  <c r="K149" i="1"/>
  <c r="K148" i="1"/>
  <c r="K138" i="1"/>
  <c r="K137" i="1"/>
  <c r="K135" i="1"/>
  <c r="K134" i="1"/>
  <c r="K133" i="1"/>
  <c r="K132" i="1"/>
  <c r="K131" i="1"/>
  <c r="K130" i="1"/>
  <c r="K129" i="1"/>
  <c r="K128" i="1"/>
  <c r="K121" i="1"/>
  <c r="K120" i="1"/>
  <c r="K119" i="1"/>
  <c r="K118" i="1"/>
  <c r="K117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89" i="1"/>
  <c r="K88" i="1"/>
  <c r="K87" i="1"/>
  <c r="K86" i="1"/>
  <c r="K85" i="1"/>
  <c r="K84" i="1"/>
  <c r="K83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1" i="1"/>
  <c r="K50" i="1"/>
  <c r="K49" i="1"/>
  <c r="K48" i="1"/>
  <c r="K40" i="1"/>
  <c r="K39" i="1"/>
  <c r="K38" i="1"/>
  <c r="K37" i="1"/>
  <c r="K36" i="1"/>
  <c r="K35" i="1"/>
  <c r="K34" i="1"/>
  <c r="K33" i="1"/>
  <c r="K32" i="1"/>
  <c r="K31" i="1"/>
  <c r="K30" i="1"/>
  <c r="K24" i="1"/>
  <c r="K23" i="1"/>
  <c r="K22" i="1"/>
  <c r="K21" i="1"/>
  <c r="K20" i="1"/>
  <c r="K19" i="1"/>
  <c r="K18" i="1"/>
  <c r="K17" i="1"/>
  <c r="K16" i="1"/>
  <c r="K15" i="1"/>
  <c r="K9" i="1"/>
  <c r="K8" i="1"/>
  <c r="K7" i="1"/>
  <c r="K6" i="1"/>
  <c r="A171" i="1"/>
</calcChain>
</file>

<file path=xl/sharedStrings.xml><?xml version="1.0" encoding="utf-8"?>
<sst xmlns="http://schemas.openxmlformats.org/spreadsheetml/2006/main" count="1599" uniqueCount="292">
  <si>
    <t xml:space="preserve">30 x 120 </t>
  </si>
  <si>
    <t>Ref.</t>
  </si>
  <si>
    <t>Descrição</t>
  </si>
  <si>
    <t>Formato</t>
  </si>
  <si>
    <t>Linha</t>
  </si>
  <si>
    <t>Pç/ Cx</t>
  </si>
  <si>
    <t>m²/ Cx</t>
  </si>
  <si>
    <t>Cx/ Pallet</t>
  </si>
  <si>
    <t>m²/ Pallet</t>
  </si>
  <si>
    <t>KG Aprox./ Cx</t>
  </si>
  <si>
    <t>Local de Uso</t>
  </si>
  <si>
    <t>Tabela 01</t>
  </si>
  <si>
    <t>30x120</t>
  </si>
  <si>
    <t>Acetinado</t>
  </si>
  <si>
    <t>LD - Alto Tráfego</t>
  </si>
  <si>
    <t>San Giusto Plus</t>
  </si>
  <si>
    <t>Granilha</t>
  </si>
  <si>
    <t>LE - Altíssimo Tráfego</t>
  </si>
  <si>
    <t>20 x 120</t>
  </si>
  <si>
    <t>20x120</t>
  </si>
  <si>
    <t>Mate Seco</t>
  </si>
  <si>
    <t>Brodick</t>
  </si>
  <si>
    <t>Di Castiglione</t>
  </si>
  <si>
    <t>62 x 120 - ACT</t>
  </si>
  <si>
    <t>Gran Castel Tasso</t>
  </si>
  <si>
    <t>Gran Rocca Di Borgia</t>
  </si>
  <si>
    <t>Castel Del Basalto</t>
  </si>
  <si>
    <t>Peterhof</t>
  </si>
  <si>
    <t>Castelo de Rochester Satiny</t>
  </si>
  <si>
    <t>Castelo de Rochester Out</t>
  </si>
  <si>
    <t>Gran Abruzzo Gray</t>
  </si>
  <si>
    <t>62 x 120 - Rel.</t>
  </si>
  <si>
    <t>Acetinado c/ Relevo</t>
  </si>
  <si>
    <t>LA - Paredes</t>
  </si>
  <si>
    <t xml:space="preserve">Castelo de Bellver Beige </t>
  </si>
  <si>
    <t>Castelo de Leeds Decor Wood</t>
  </si>
  <si>
    <t>62,01 x 120,01 - Pol.</t>
  </si>
  <si>
    <t>Esmaltado Polido</t>
  </si>
  <si>
    <t>LC - Médio Tráfego</t>
  </si>
  <si>
    <t>P70604</t>
  </si>
  <si>
    <t>Castel Tasso Lux</t>
  </si>
  <si>
    <t>LC -Médio Tráfego</t>
  </si>
  <si>
    <t>P70611</t>
  </si>
  <si>
    <t>Gran Miramare Lux</t>
  </si>
  <si>
    <t>P70633</t>
  </si>
  <si>
    <t>Gran Castelo de Cashel Lux</t>
  </si>
  <si>
    <t>P70635</t>
  </si>
  <si>
    <t>Gran Castelo de Arundel Lux</t>
  </si>
  <si>
    <t>P70644</t>
  </si>
  <si>
    <t>Gran Abruzzo Fendi Lux</t>
  </si>
  <si>
    <t>P70647</t>
  </si>
  <si>
    <t>P70651</t>
  </si>
  <si>
    <t>Peterhof Lux</t>
  </si>
  <si>
    <t>P70655</t>
  </si>
  <si>
    <t>P70658</t>
  </si>
  <si>
    <t>82 x 82</t>
  </si>
  <si>
    <t>P70406</t>
  </si>
  <si>
    <t>82x82</t>
  </si>
  <si>
    <t>P70408</t>
  </si>
  <si>
    <t>L`Aquila</t>
  </si>
  <si>
    <t>P70409</t>
  </si>
  <si>
    <t>P70414</t>
  </si>
  <si>
    <t>Fontanellato Lux Plus</t>
  </si>
  <si>
    <t>P70420</t>
  </si>
  <si>
    <t>P70433</t>
  </si>
  <si>
    <t>Abruzzo Fendi Lux Plus</t>
  </si>
  <si>
    <t>P70434</t>
  </si>
  <si>
    <t>Abruzzo Gray Lux Plus</t>
  </si>
  <si>
    <t>83 x 83</t>
  </si>
  <si>
    <t>Laquila Plus</t>
  </si>
  <si>
    <t>Fontanellato Plus</t>
  </si>
  <si>
    <t>Versalhes Silver Plus</t>
  </si>
  <si>
    <t>Versalhes Bone Plus</t>
  </si>
  <si>
    <t>Castelo de Haward</t>
  </si>
  <si>
    <t>Castelo de Lincoln Plus</t>
  </si>
  <si>
    <t>Versalhes Silver Out Plus</t>
  </si>
  <si>
    <t>Castel Tasso Plus</t>
  </si>
  <si>
    <t>Castelo de Trakai Plus</t>
  </si>
  <si>
    <t>121 x 121 - Pol.</t>
  </si>
  <si>
    <t>121x121</t>
  </si>
  <si>
    <t>P71002</t>
  </si>
  <si>
    <t>Castelo de Windsor</t>
  </si>
  <si>
    <t>P71004</t>
  </si>
  <si>
    <t>Castel Balear Beige Lux</t>
  </si>
  <si>
    <t>P71006</t>
  </si>
  <si>
    <t>Master Castel Tasso Lux</t>
  </si>
  <si>
    <t>P71007</t>
  </si>
  <si>
    <t>Master Peterhof Lux</t>
  </si>
  <si>
    <t>P71008</t>
  </si>
  <si>
    <t>123 x 123 - Act.</t>
  </si>
  <si>
    <t xml:space="preserve">Castelo de Chambord </t>
  </si>
  <si>
    <t>123x123</t>
  </si>
  <si>
    <t>Monte Saint Michez Fendi</t>
  </si>
  <si>
    <t>Monte Saint Michez Off White</t>
  </si>
  <si>
    <t>Master Castel Tasso</t>
  </si>
  <si>
    <t>Master Versalher Silver</t>
  </si>
  <si>
    <t>62x122</t>
  </si>
  <si>
    <t>Castelo de Chilon Decor</t>
  </si>
  <si>
    <t>Balmoral Canela</t>
  </si>
  <si>
    <t>Balmoral Marfim</t>
  </si>
  <si>
    <t>62x122 AR</t>
  </si>
  <si>
    <t>P70662</t>
  </si>
  <si>
    <t>Abruzzo Cream Lux</t>
  </si>
  <si>
    <t>P70663</t>
  </si>
  <si>
    <t>Gran Abruzzo Gray Lux</t>
  </si>
  <si>
    <t>P70665</t>
  </si>
  <si>
    <t>Castelo de Windsor Lux</t>
  </si>
  <si>
    <t>P70437</t>
  </si>
  <si>
    <t>Abruzzo Cream Lux Pluas</t>
  </si>
  <si>
    <t>P70438</t>
  </si>
  <si>
    <t>P70439</t>
  </si>
  <si>
    <t>Peterhof Lux Plus</t>
  </si>
  <si>
    <t>Peterhof Plus</t>
  </si>
  <si>
    <t xml:space="preserve">Max Donnottar Satiny </t>
  </si>
  <si>
    <t xml:space="preserve">Max Donnottar Out </t>
  </si>
  <si>
    <t xml:space="preserve">Max Comtal Out </t>
  </si>
  <si>
    <t xml:space="preserve">Max Cardiff Lux Lux </t>
  </si>
  <si>
    <t xml:space="preserve">Max Gaillard Lux </t>
  </si>
  <si>
    <t xml:space="preserve">Max Donnottar Beige Satiny </t>
  </si>
  <si>
    <t xml:space="preserve">Max Donnottar Gray Satiny </t>
  </si>
  <si>
    <t>Max Dunnottar Lux</t>
  </si>
  <si>
    <t>20x122</t>
  </si>
  <si>
    <t>83,01 X 83,01</t>
  </si>
  <si>
    <t>62,00 X 121,00</t>
  </si>
  <si>
    <t>P70667</t>
  </si>
  <si>
    <t>P70669</t>
  </si>
  <si>
    <t>P70670</t>
  </si>
  <si>
    <t>P70672</t>
  </si>
  <si>
    <t>Palazzo Nero Lux</t>
  </si>
  <si>
    <t>Palazzo Di Cristallo Lux</t>
  </si>
  <si>
    <t>P71010</t>
  </si>
  <si>
    <t>Master Cimentati Satiny</t>
  </si>
  <si>
    <t>94,00 x 94,00</t>
  </si>
  <si>
    <t>Beige Cimentati Satiny</t>
  </si>
  <si>
    <t>Grigio Cimentati Satiny</t>
  </si>
  <si>
    <t>Pietra Arenaria Satiny</t>
  </si>
  <si>
    <t>Pietra Arenaria Out</t>
  </si>
  <si>
    <t>Marmo Striato Satiny</t>
  </si>
  <si>
    <t>Terrazo Delicato Satiny</t>
  </si>
  <si>
    <t>Nero Marquina Satiny</t>
  </si>
  <si>
    <t>Pietra Negresco</t>
  </si>
  <si>
    <t>Barone Di Marmo Satiny</t>
  </si>
  <si>
    <t>Bianco Onice Satiny</t>
  </si>
  <si>
    <t>P94706</t>
  </si>
  <si>
    <t>P94707</t>
  </si>
  <si>
    <t>P94709</t>
  </si>
  <si>
    <t>P94711</t>
  </si>
  <si>
    <t>P94713</t>
  </si>
  <si>
    <t>P94715</t>
  </si>
  <si>
    <t>P94717</t>
  </si>
  <si>
    <t>P94719</t>
  </si>
  <si>
    <t>P98700</t>
  </si>
  <si>
    <t>P98701</t>
  </si>
  <si>
    <t>P98702</t>
  </si>
  <si>
    <t>94,01 x 94,01</t>
  </si>
  <si>
    <t>Calaca Classici Lux</t>
  </si>
  <si>
    <t>Marmo Striato Lux</t>
  </si>
  <si>
    <t>Terrazo Delicato Lux</t>
  </si>
  <si>
    <t>Nero Marquina Lux</t>
  </si>
  <si>
    <t>Bianco Onice Lux</t>
  </si>
  <si>
    <t>Barone Di Marmo Lux</t>
  </si>
  <si>
    <t>94,00 x 184,00</t>
  </si>
  <si>
    <t>94,01 x 184,01</t>
  </si>
  <si>
    <t>31,00 x 184,00</t>
  </si>
  <si>
    <t>Grandi Pietra Negresco</t>
  </si>
  <si>
    <t>Grandi Bianco Onice Lux</t>
  </si>
  <si>
    <t>Grandi Calacata Borghini Lux</t>
  </si>
  <si>
    <t>Grandi Alpi Mix Lux</t>
  </si>
  <si>
    <t>Grandi Legno Cerezo</t>
  </si>
  <si>
    <t>Oxidato</t>
  </si>
  <si>
    <t>71,00 x 71,00</t>
  </si>
  <si>
    <t>71,01 x 71,01</t>
  </si>
  <si>
    <t>P71450</t>
  </si>
  <si>
    <t>P71451</t>
  </si>
  <si>
    <t>P71452</t>
  </si>
  <si>
    <t>Calacata Classic Satiny</t>
  </si>
  <si>
    <t>Block Gris Satiny</t>
  </si>
  <si>
    <t>Block Gris Lux</t>
  </si>
  <si>
    <t>Cimentati Satiny</t>
  </si>
  <si>
    <t>Abruzzo Fendi Satiny Plus</t>
  </si>
  <si>
    <t>Abruzzo Gray Satiny Plus</t>
  </si>
  <si>
    <t>Master Peterhof Satiny</t>
  </si>
  <si>
    <t>LDX - Alto Tráfego</t>
  </si>
  <si>
    <t>Arden Castanho Out</t>
  </si>
  <si>
    <t xml:space="preserve">Arbo Caramelo Out </t>
  </si>
  <si>
    <t>Gran Bianco Onice Satiny</t>
  </si>
  <si>
    <t>P70675</t>
  </si>
  <si>
    <t>Gran Bianco Onice Lux</t>
  </si>
  <si>
    <t>P71011</t>
  </si>
  <si>
    <t xml:space="preserve">Master Bianco Onice Lux </t>
  </si>
  <si>
    <t>Master Bianco Onice Satiny</t>
  </si>
  <si>
    <t>Arden Castanho</t>
  </si>
  <si>
    <t>Friejó</t>
  </si>
  <si>
    <t>Sand Wood</t>
  </si>
  <si>
    <t>Monte Saint Michez Gray</t>
  </si>
  <si>
    <t>Monte Saint Michez Snow Plus</t>
  </si>
  <si>
    <t>Lisboa Out Granilha</t>
  </si>
  <si>
    <t>Diamond</t>
  </si>
  <si>
    <t xml:space="preserve">Lisboa Decor </t>
  </si>
  <si>
    <t>Cola + Granilha</t>
  </si>
  <si>
    <t>Madeira Brauna Plus</t>
  </si>
  <si>
    <t>Deep Ink</t>
  </si>
  <si>
    <t>Gran Unique</t>
  </si>
  <si>
    <t>Gran sahara</t>
  </si>
  <si>
    <t>House Freijo</t>
  </si>
  <si>
    <t>Mate c/ Relevo</t>
  </si>
  <si>
    <t>House Carvalho</t>
  </si>
  <si>
    <t>P70677</t>
  </si>
  <si>
    <t>Gran Dark Imperador Soft</t>
  </si>
  <si>
    <t>Esmaltado Polido Soft</t>
  </si>
  <si>
    <t>P70678</t>
  </si>
  <si>
    <t>Gran Pietra Negresco Soft</t>
  </si>
  <si>
    <t>P70679</t>
  </si>
  <si>
    <t>P70685</t>
  </si>
  <si>
    <t>Gran Oxy</t>
  </si>
  <si>
    <t>Lapado</t>
  </si>
  <si>
    <t>P70686</t>
  </si>
  <si>
    <t>Gran Cianita Lux</t>
  </si>
  <si>
    <t>San Francisco Out</t>
  </si>
  <si>
    <t>LEX - Altíssimo Tráfego</t>
  </si>
  <si>
    <t>P71012</t>
  </si>
  <si>
    <t>Master Sahara Satiny</t>
  </si>
  <si>
    <t>Master Cimentati Out</t>
  </si>
  <si>
    <t>Granilha/Diamond</t>
  </si>
  <si>
    <t>Master Metalico</t>
  </si>
  <si>
    <t>Inktec</t>
  </si>
  <si>
    <t>Max Bianco Onice</t>
  </si>
  <si>
    <t>P71453</t>
  </si>
  <si>
    <t>Max Bianco Onice Lux</t>
  </si>
  <si>
    <t>Unique Out Granilha</t>
  </si>
  <si>
    <t>Cimentati Out</t>
  </si>
  <si>
    <t>P94726</t>
  </si>
  <si>
    <t>Cimentati Lux</t>
  </si>
  <si>
    <t>P70413</t>
  </si>
  <si>
    <t>P70436</t>
  </si>
  <si>
    <t>P70603</t>
  </si>
  <si>
    <t>P71000</t>
  </si>
  <si>
    <t>P73730</t>
  </si>
  <si>
    <t>Ref</t>
  </si>
  <si>
    <t>Tabela 1</t>
  </si>
  <si>
    <t>Tabela 2</t>
  </si>
  <si>
    <t>Tabela 3</t>
  </si>
  <si>
    <t>Tabela 4</t>
  </si>
  <si>
    <t>Tabela 5</t>
  </si>
  <si>
    <t>P74201</t>
  </si>
  <si>
    <t>P74202</t>
  </si>
  <si>
    <t>P74200</t>
  </si>
  <si>
    <t>ABS Hard</t>
  </si>
  <si>
    <t>Diamond/Granilha</t>
  </si>
  <si>
    <t>Max Cimentati</t>
  </si>
  <si>
    <t>Max Cimentati Out</t>
  </si>
  <si>
    <t>Max Cimentati Beige</t>
  </si>
  <si>
    <t>Max Cimentati Beige Out</t>
  </si>
  <si>
    <t>Max Cimentati Grafite</t>
  </si>
  <si>
    <t>Max Cimentati Grafite Out</t>
  </si>
  <si>
    <t>Granilha/Dimond</t>
  </si>
  <si>
    <t>Cimentati Grafite</t>
  </si>
  <si>
    <t>Cimentati Grafite Out</t>
  </si>
  <si>
    <t>Cimentati Beige Out</t>
  </si>
  <si>
    <t>Marmo Striato Gray Satiny</t>
  </si>
  <si>
    <t>Master Cimentati Grafite</t>
  </si>
  <si>
    <t>Master Cimentati Grafite Out</t>
  </si>
  <si>
    <t>Master Saint Michez Snow</t>
  </si>
  <si>
    <t>P71013</t>
  </si>
  <si>
    <t>Master Cristallo Lux</t>
  </si>
  <si>
    <t>P71014</t>
  </si>
  <si>
    <t>Master Marmo Arcobaleno Lux</t>
  </si>
  <si>
    <t>Master Marmo Arcobaleno</t>
  </si>
  <si>
    <t>Master Cristallo</t>
  </si>
  <si>
    <t>P70688</t>
  </si>
  <si>
    <t>Gran Marmo Arcobaleno Lux</t>
  </si>
  <si>
    <t>P70690</t>
  </si>
  <si>
    <t>Gran Cristallo Lux</t>
  </si>
  <si>
    <t>Gran Marmo Arcobaleno</t>
  </si>
  <si>
    <t>Stone Lunare</t>
  </si>
  <si>
    <t>Linho Dark</t>
  </si>
  <si>
    <t>P70440</t>
  </si>
  <si>
    <t>Marmo Arcobaleno Lux Plus</t>
  </si>
  <si>
    <t>Marmo Arcobaleno Plus</t>
  </si>
  <si>
    <t>Castelo de Haward Out</t>
  </si>
  <si>
    <t>Castel Di Bianco</t>
  </si>
  <si>
    <t>Castell Thassos Satiny</t>
  </si>
  <si>
    <t>Castell Gray Satiny</t>
  </si>
  <si>
    <t>Castell Gray Out</t>
  </si>
  <si>
    <t>Castel Di Bellver</t>
  </si>
  <si>
    <t>P94735</t>
  </si>
  <si>
    <t>P94736</t>
  </si>
  <si>
    <t>Castell Di Bianco Lux</t>
  </si>
  <si>
    <t>Castell Thassos Luz</t>
  </si>
  <si>
    <t>Tab.Geral NP - Atualizada em 15/01/2025</t>
  </si>
  <si>
    <t>Custo70+</t>
  </si>
  <si>
    <t>Mosaic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</si>
</sst>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ADD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105">
    <xf numFmtId="0" fontId="0" fillId="0" borderId="0" xfId="0"/>
    <xf numFmtId="0" fontId="5" fillId="2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2" fontId="6" fillId="3" borderId="6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2" fontId="7" fillId="0" borderId="6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6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2" fontId="6" fillId="3" borderId="6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2" fontId="10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2" fontId="6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8" fontId="0" fillId="0" borderId="0" xfId="0" applyNumberFormat="1"/>
    <xf numFmtId="8" fontId="5" fillId="2" borderId="6" xfId="0" applyNumberFormat="1" applyFont="1" applyFill="1" applyBorder="1" applyAlignment="1">
      <alignment horizontal="center" vertical="center"/>
    </xf>
    <xf numFmtId="8" fontId="6" fillId="0" borderId="7" xfId="0" applyNumberFormat="1" applyFont="1" applyBorder="1" applyAlignment="1">
      <alignment horizontal="center" vertical="center"/>
    </xf>
    <xf numFmtId="8" fontId="6" fillId="0" borderId="0" xfId="0" applyNumberFormat="1" applyFont="1" applyAlignment="1">
      <alignment horizontal="center" vertical="center"/>
    </xf>
    <xf numFmtId="8" fontId="5" fillId="2" borderId="7" xfId="0" applyNumberFormat="1" applyFont="1" applyFill="1" applyBorder="1" applyAlignment="1">
      <alignment horizontal="center" vertical="center"/>
    </xf>
    <xf numFmtId="10" fontId="6" fillId="0" borderId="0" xfId="1" applyNumberFormat="1" applyFont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8" fontId="6" fillId="0" borderId="0" xfId="2" applyNumberFormat="1" applyFont="1" applyFill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8" fontId="0" fillId="0" borderId="0" xfId="2" applyNumberFormat="1" applyFont="1" applyAlignment="1">
      <alignment horizontal="center" vertical="center"/>
    </xf>
    <xf numFmtId="0" fontId="13" fillId="4" borderId="0" xfId="0" applyFont="1" applyFill="1" applyAlignment="1">
      <alignment vertical="center"/>
    </xf>
    <xf numFmtId="8" fontId="13" fillId="4" borderId="0" xfId="0" applyNumberFormat="1" applyFont="1" applyFill="1" applyAlignment="1">
      <alignment vertical="center"/>
    </xf>
    <xf numFmtId="0" fontId="0" fillId="0" borderId="4" xfId="0" applyBorder="1"/>
    <xf numFmtId="4" fontId="6" fillId="0" borderId="6" xfId="0" applyNumberFormat="1" applyFont="1" applyBorder="1" applyAlignment="1">
      <alignment horizontal="center"/>
    </xf>
    <xf numFmtId="4" fontId="6" fillId="0" borderId="6" xfId="0" applyNumberFormat="1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/>
    </xf>
    <xf numFmtId="4" fontId="7" fillId="0" borderId="6" xfId="0" applyNumberFormat="1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2" fontId="6" fillId="5" borderId="6" xfId="0" applyNumberFormat="1" applyFont="1" applyFill="1" applyBorder="1" applyAlignment="1">
      <alignment horizontal="center"/>
    </xf>
    <xf numFmtId="8" fontId="6" fillId="5" borderId="7" xfId="0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/>
    </xf>
    <xf numFmtId="2" fontId="6" fillId="5" borderId="7" xfId="0" applyNumberFormat="1" applyFont="1" applyFill="1" applyBorder="1" applyAlignment="1">
      <alignment horizontal="center"/>
    </xf>
    <xf numFmtId="4" fontId="6" fillId="5" borderId="7" xfId="0" applyNumberFormat="1" applyFont="1" applyFill="1" applyBorder="1" applyAlignment="1">
      <alignment horizontal="center"/>
    </xf>
    <xf numFmtId="4" fontId="6" fillId="0" borderId="0" xfId="0" applyNumberFormat="1" applyFont="1" applyAlignment="1">
      <alignment horizontal="center"/>
    </xf>
    <xf numFmtId="4" fontId="6" fillId="5" borderId="6" xfId="0" applyNumberFormat="1" applyFont="1" applyFill="1" applyBorder="1" applyAlignment="1">
      <alignment horizontal="center"/>
    </xf>
    <xf numFmtId="2" fontId="6" fillId="5" borderId="6" xfId="0" applyNumberFormat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2" fontId="7" fillId="5" borderId="6" xfId="0" applyNumberFormat="1" applyFont="1" applyFill="1" applyBorder="1" applyAlignment="1">
      <alignment horizontal="center" vertical="center"/>
    </xf>
    <xf numFmtId="4" fontId="7" fillId="5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8" fontId="0" fillId="0" borderId="0" xfId="0" applyNumberFormat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8" fontId="5" fillId="2" borderId="6" xfId="0" applyNumberFormat="1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/>
    </xf>
    <xf numFmtId="2" fontId="6" fillId="0" borderId="6" xfId="0" applyNumberFormat="1" applyFont="1" applyBorder="1" applyAlignment="1">
      <alignment horizontal="left"/>
    </xf>
    <xf numFmtId="0" fontId="7" fillId="0" borderId="6" xfId="0" applyFont="1" applyBorder="1" applyAlignment="1">
      <alignment horizontal="left" vertical="center"/>
    </xf>
    <xf numFmtId="4" fontId="6" fillId="0" borderId="6" xfId="0" applyNumberFormat="1" applyFont="1" applyBorder="1" applyAlignment="1">
      <alignment horizontal="left"/>
    </xf>
    <xf numFmtId="0" fontId="7" fillId="0" borderId="6" xfId="0" applyFont="1" applyBorder="1" applyAlignment="1">
      <alignment horizontal="left"/>
    </xf>
    <xf numFmtId="2" fontId="7" fillId="0" borderId="6" xfId="0" applyNumberFormat="1" applyFont="1" applyBorder="1" applyAlignment="1">
      <alignment horizontal="left"/>
    </xf>
    <xf numFmtId="2" fontId="6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left"/>
    </xf>
    <xf numFmtId="4" fontId="6" fillId="0" borderId="6" xfId="0" applyNumberFormat="1" applyFont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2" fontId="6" fillId="5" borderId="6" xfId="0" applyNumberFormat="1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/>
    </xf>
    <xf numFmtId="4" fontId="6" fillId="5" borderId="6" xfId="0" applyNumberFormat="1" applyFont="1" applyFill="1" applyBorder="1" applyAlignment="1">
      <alignment horizontal="left"/>
    </xf>
    <xf numFmtId="0" fontId="6" fillId="3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/>
    </xf>
    <xf numFmtId="2" fontId="6" fillId="3" borderId="6" xfId="0" applyNumberFormat="1" applyFont="1" applyFill="1" applyBorder="1" applyAlignment="1">
      <alignment horizontal="left"/>
    </xf>
    <xf numFmtId="2" fontId="6" fillId="5" borderId="6" xfId="0" applyNumberFormat="1" applyFont="1" applyFill="1" applyBorder="1" applyAlignment="1">
      <alignment horizontal="left"/>
    </xf>
    <xf numFmtId="2" fontId="6" fillId="3" borderId="6" xfId="0" applyNumberFormat="1" applyFont="1" applyFill="1" applyBorder="1" applyAlignment="1">
      <alignment horizontal="left" vertical="center"/>
    </xf>
    <xf numFmtId="2" fontId="7" fillId="0" borderId="6" xfId="0" applyNumberFormat="1" applyFont="1" applyBorder="1" applyAlignment="1">
      <alignment horizontal="left" vertical="center"/>
    </xf>
    <xf numFmtId="4" fontId="7" fillId="0" borderId="6" xfId="0" applyNumberFormat="1" applyFont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/>
    </xf>
    <xf numFmtId="2" fontId="7" fillId="5" borderId="6" xfId="0" applyNumberFormat="1" applyFont="1" applyFill="1" applyBorder="1" applyAlignment="1">
      <alignment horizontal="left" vertical="center"/>
    </xf>
    <xf numFmtId="4" fontId="7" fillId="5" borderId="6" xfId="0" applyNumberFormat="1" applyFont="1" applyFill="1" applyBorder="1" applyAlignment="1">
      <alignment horizontal="left" vertical="center"/>
    </xf>
    <xf numFmtId="8" fontId="6" fillId="0" borderId="6" xfId="0" applyNumberFormat="1" applyFont="1" applyBorder="1" applyAlignment="1">
      <alignment horizontal="left" vertical="center"/>
    </xf>
    <xf numFmtId="8" fontId="6" fillId="5" borderId="6" xfId="0" applyNumberFormat="1" applyFont="1" applyFill="1" applyBorder="1" applyAlignment="1">
      <alignment horizontal="left" vertical="center"/>
    </xf>
    <xf numFmtId="8" fontId="0" fillId="0" borderId="6" xfId="0" applyNumberFormat="1" applyBorder="1"/>
    <xf numFmtId="0" fontId="4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923925</xdr:colOff>
      <xdr:row>76</xdr:row>
      <xdr:rowOff>174625</xdr:rowOff>
    </xdr:from>
    <xdr:to>
      <xdr:col>11</xdr:col>
      <xdr:colOff>104775</xdr:colOff>
      <xdr:row>79</xdr:row>
      <xdr:rowOff>128905</xdr:rowOff>
    </xdr:to>
    <xdr:pic>
      <xdr:nvPicPr>
        <xdr:cNvPr id="2" name="Imagem 13">
          <a:extLst>
            <a:ext uri="{FF2B5EF4-FFF2-40B4-BE49-F238E27FC236}">
              <a16:creationId xmlns:a16="http://schemas.microsoft.com/office/drawing/2014/main" id="{5B2B37C2-1794-4CC9-8903-8C3D6C3C8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14652625"/>
          <a:ext cx="1095375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762000</xdr:colOff>
      <xdr:row>0</xdr:row>
      <xdr:rowOff>0</xdr:rowOff>
    </xdr:from>
    <xdr:to>
      <xdr:col>10</xdr:col>
      <xdr:colOff>609600</xdr:colOff>
      <xdr:row>2</xdr:row>
      <xdr:rowOff>144780</xdr:rowOff>
    </xdr:to>
    <xdr:pic>
      <xdr:nvPicPr>
        <xdr:cNvPr id="3" name="Imagem 13">
          <a:extLst>
            <a:ext uri="{FF2B5EF4-FFF2-40B4-BE49-F238E27FC236}">
              <a16:creationId xmlns:a16="http://schemas.microsoft.com/office/drawing/2014/main" id="{3149E2A2-AC69-47D1-A7AE-6E523AD72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0"/>
          <a:ext cx="1095375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781050</xdr:colOff>
      <xdr:row>168</xdr:row>
      <xdr:rowOff>119380</xdr:rowOff>
    </xdr:from>
    <xdr:to>
      <xdr:col>10</xdr:col>
      <xdr:colOff>628650</xdr:colOff>
      <xdr:row>171</xdr:row>
      <xdr:rowOff>73660</xdr:rowOff>
    </xdr:to>
    <xdr:pic>
      <xdr:nvPicPr>
        <xdr:cNvPr id="4" name="Imagem 13">
          <a:extLst>
            <a:ext uri="{FF2B5EF4-FFF2-40B4-BE49-F238E27FC236}">
              <a16:creationId xmlns:a16="http://schemas.microsoft.com/office/drawing/2014/main" id="{8537F18D-2D47-4CD0-9F98-A8695F4A5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32123380"/>
          <a:ext cx="1095375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91440</xdr:rowOff>
    </xdr:from>
    <xdr:to>
      <xdr:col>1</xdr:col>
      <xdr:colOff>952500</xdr:colOff>
      <xdr:row>3</xdr:row>
      <xdr:rowOff>53340</xdr:rowOff>
    </xdr:to>
    <xdr:pic>
      <xdr:nvPicPr>
        <xdr:cNvPr id="3" name="Imagem 13">
          <a:extLst>
            <a:ext uri="{FF2B5EF4-FFF2-40B4-BE49-F238E27FC236}">
              <a16:creationId xmlns:a16="http://schemas.microsoft.com/office/drawing/2014/main" id="{A7342BDC-C423-4233-9B5E-F334EA7C5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1440"/>
          <a:ext cx="112776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232"/>
  <sheetViews>
    <sheetView showGridLines="0" zoomScaleNormal="100" workbookViewId="0">
      <selection sqref="A1:XFD1048576"/>
    </sheetView>
  </sheetViews>
  <sheetFormatPr defaultRowHeight="14.4" x14ac:dyDescent="0.3"/>
  <cols>
    <col min="1" max="1" width="7" bestFit="1" customWidth="1"/>
    <col min="2" max="2" width="29.88671875" customWidth="1"/>
    <col min="3" max="3" width="12.6640625" bestFit="1" customWidth="1"/>
    <col min="4" max="4" width="18.88671875" bestFit="1" customWidth="1"/>
    <col min="5" max="5" width="5.88671875" customWidth="1"/>
    <col min="6" max="6" width="6.33203125" customWidth="1"/>
    <col min="7" max="7" width="8.5546875" customWidth="1"/>
    <col min="8" max="8" width="8.88671875" customWidth="1"/>
    <col min="9" max="9" width="11.88671875" customWidth="1"/>
    <col min="10" max="10" width="18.6640625" bestFit="1" customWidth="1"/>
    <col min="11" max="11" width="10" style="33" customWidth="1"/>
  </cols>
  <sheetData>
    <row r="2" spans="1:11" x14ac:dyDescent="0.3">
      <c r="A2" s="104" t="s">
        <v>289</v>
      </c>
      <c r="B2" s="104"/>
    </row>
    <row r="3" spans="1:11" x14ac:dyDescent="0.3">
      <c r="A3" s="100" t="s">
        <v>0</v>
      </c>
      <c r="B3" s="101"/>
      <c r="C3" s="49"/>
    </row>
    <row r="4" spans="1:11" x14ac:dyDescent="0.3">
      <c r="A4" s="102"/>
      <c r="B4" s="103"/>
      <c r="C4" s="99"/>
      <c r="D4" s="99"/>
      <c r="E4" s="99"/>
      <c r="F4" s="99"/>
      <c r="G4" s="99"/>
      <c r="H4" s="99"/>
      <c r="I4" s="99"/>
      <c r="J4" s="99"/>
      <c r="K4" s="99"/>
    </row>
    <row r="5" spans="1:11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34" t="s">
        <v>11</v>
      </c>
    </row>
    <row r="6" spans="1:11" x14ac:dyDescent="0.3">
      <c r="A6" s="5">
        <v>73720</v>
      </c>
      <c r="B6" s="5" t="s">
        <v>15</v>
      </c>
      <c r="C6" s="5" t="s">
        <v>12</v>
      </c>
      <c r="D6" s="5" t="s">
        <v>16</v>
      </c>
      <c r="E6" s="6">
        <v>6</v>
      </c>
      <c r="F6" s="6">
        <v>2.27</v>
      </c>
      <c r="G6" s="6">
        <v>32</v>
      </c>
      <c r="H6" s="7">
        <v>72.64</v>
      </c>
      <c r="I6" s="7">
        <v>48</v>
      </c>
      <c r="J6" s="5" t="s">
        <v>17</v>
      </c>
      <c r="K6" s="35">
        <f t="shared" ref="K6:K9" si="0">VLOOKUP(A6,tabelas,2,FALSE)</f>
        <v>50.49</v>
      </c>
    </row>
    <row r="7" spans="1:11" x14ac:dyDescent="0.3">
      <c r="A7" s="5">
        <v>73726</v>
      </c>
      <c r="B7" s="5" t="s">
        <v>196</v>
      </c>
      <c r="C7" s="5" t="s">
        <v>12</v>
      </c>
      <c r="D7" s="16" t="s">
        <v>248</v>
      </c>
      <c r="E7" s="6">
        <v>6</v>
      </c>
      <c r="F7" s="6">
        <v>2.27</v>
      </c>
      <c r="G7" s="6">
        <v>32</v>
      </c>
      <c r="H7" s="7">
        <v>72.64</v>
      </c>
      <c r="I7" s="50">
        <v>48</v>
      </c>
      <c r="J7" s="16" t="s">
        <v>182</v>
      </c>
      <c r="K7" s="35">
        <f t="shared" si="0"/>
        <v>59.29</v>
      </c>
    </row>
    <row r="8" spans="1:11" x14ac:dyDescent="0.3">
      <c r="A8" s="5">
        <v>73727</v>
      </c>
      <c r="B8" s="5" t="s">
        <v>198</v>
      </c>
      <c r="C8" s="5" t="s">
        <v>12</v>
      </c>
      <c r="D8" s="5" t="s">
        <v>199</v>
      </c>
      <c r="E8" s="6">
        <v>6</v>
      </c>
      <c r="F8" s="6">
        <v>2.27</v>
      </c>
      <c r="G8" s="6">
        <v>32</v>
      </c>
      <c r="H8" s="7">
        <v>72.64</v>
      </c>
      <c r="I8" s="50">
        <v>48</v>
      </c>
      <c r="J8" s="2" t="s">
        <v>41</v>
      </c>
      <c r="K8" s="35">
        <f t="shared" si="0"/>
        <v>57.09</v>
      </c>
    </row>
    <row r="9" spans="1:11" x14ac:dyDescent="0.3">
      <c r="A9" s="5">
        <v>73731</v>
      </c>
      <c r="B9" s="5" t="s">
        <v>200</v>
      </c>
      <c r="C9" s="5" t="s">
        <v>12</v>
      </c>
      <c r="D9" s="5" t="s">
        <v>201</v>
      </c>
      <c r="E9" s="6">
        <v>6</v>
      </c>
      <c r="F9" s="6">
        <v>2.27</v>
      </c>
      <c r="G9" s="6">
        <v>32</v>
      </c>
      <c r="H9" s="7">
        <v>72.64</v>
      </c>
      <c r="I9" s="50">
        <v>48</v>
      </c>
      <c r="J9" s="2" t="s">
        <v>41</v>
      </c>
      <c r="K9" s="35">
        <f t="shared" si="0"/>
        <v>65.89</v>
      </c>
    </row>
    <row r="10" spans="1:11" x14ac:dyDescent="0.3">
      <c r="A10" s="8"/>
      <c r="B10" s="8"/>
      <c r="C10" s="8"/>
      <c r="D10" s="8"/>
      <c r="E10" s="9"/>
      <c r="F10" s="9"/>
      <c r="G10" s="9"/>
      <c r="H10" s="10"/>
      <c r="I10" s="10"/>
      <c r="J10" s="8"/>
      <c r="K10" s="38"/>
    </row>
    <row r="11" spans="1:11" x14ac:dyDescent="0.3">
      <c r="A11" s="8"/>
      <c r="B11" s="8"/>
      <c r="C11" s="8"/>
      <c r="D11" s="8"/>
      <c r="E11" s="11"/>
      <c r="F11" s="11"/>
      <c r="G11" s="11"/>
      <c r="H11" s="12"/>
      <c r="I11" s="12"/>
      <c r="J11" s="8"/>
      <c r="K11" s="36"/>
    </row>
    <row r="12" spans="1:11" x14ac:dyDescent="0.3">
      <c r="A12" s="100" t="s">
        <v>18</v>
      </c>
      <c r="B12" s="101"/>
      <c r="C12" s="49"/>
      <c r="K12" s="36"/>
    </row>
    <row r="13" spans="1:11" x14ac:dyDescent="0.3">
      <c r="A13" s="102"/>
      <c r="B13" s="103"/>
      <c r="C13" s="99"/>
      <c r="D13" s="99"/>
      <c r="E13" s="99"/>
      <c r="F13" s="99"/>
      <c r="G13" s="99"/>
      <c r="H13" s="99"/>
      <c r="I13" s="99"/>
      <c r="J13" s="99"/>
      <c r="K13" s="99"/>
    </row>
    <row r="14" spans="1:11" x14ac:dyDescent="0.3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  <c r="I14" s="1" t="s">
        <v>9</v>
      </c>
      <c r="J14" s="1" t="s">
        <v>10</v>
      </c>
      <c r="K14" s="34" t="s">
        <v>11</v>
      </c>
    </row>
    <row r="15" spans="1:11" x14ac:dyDescent="0.3">
      <c r="A15" s="5">
        <v>70706</v>
      </c>
      <c r="B15" s="5" t="s">
        <v>21</v>
      </c>
      <c r="C15" s="5" t="s">
        <v>19</v>
      </c>
      <c r="D15" s="5" t="s">
        <v>13</v>
      </c>
      <c r="E15" s="6">
        <v>6</v>
      </c>
      <c r="F15" s="6">
        <v>1.49</v>
      </c>
      <c r="G15" s="6">
        <v>48</v>
      </c>
      <c r="H15" s="6">
        <v>71.52</v>
      </c>
      <c r="I15" s="7">
        <v>30</v>
      </c>
      <c r="J15" s="5" t="s">
        <v>14</v>
      </c>
      <c r="K15" s="35">
        <f t="shared" ref="K15:K24" si="1">VLOOKUP(A15,tabelas,2,FALSE)</f>
        <v>49.39</v>
      </c>
    </row>
    <row r="16" spans="1:11" x14ac:dyDescent="0.3">
      <c r="A16" s="16">
        <v>70721</v>
      </c>
      <c r="B16" s="16" t="s">
        <v>22</v>
      </c>
      <c r="C16" s="16" t="s">
        <v>121</v>
      </c>
      <c r="D16" s="16" t="s">
        <v>20</v>
      </c>
      <c r="E16" s="17">
        <v>6</v>
      </c>
      <c r="F16" s="17">
        <v>1.47</v>
      </c>
      <c r="G16" s="17">
        <v>48</v>
      </c>
      <c r="H16" s="17">
        <v>70.56</v>
      </c>
      <c r="I16" s="18">
        <v>30</v>
      </c>
      <c r="J16" s="16" t="s">
        <v>14</v>
      </c>
      <c r="K16" s="35">
        <f t="shared" si="1"/>
        <v>49.39</v>
      </c>
    </row>
    <row r="17" spans="1:11" x14ac:dyDescent="0.3">
      <c r="A17" s="16">
        <v>70726</v>
      </c>
      <c r="B17" s="16" t="s">
        <v>97</v>
      </c>
      <c r="C17" s="16" t="s">
        <v>19</v>
      </c>
      <c r="D17" s="16" t="s">
        <v>13</v>
      </c>
      <c r="E17" s="17">
        <v>6</v>
      </c>
      <c r="F17" s="17">
        <v>1.49</v>
      </c>
      <c r="G17" s="17">
        <v>48</v>
      </c>
      <c r="H17" s="17">
        <v>71.52</v>
      </c>
      <c r="I17" s="18">
        <v>30</v>
      </c>
      <c r="J17" s="16" t="s">
        <v>14</v>
      </c>
      <c r="K17" s="35">
        <f t="shared" si="1"/>
        <v>47.19</v>
      </c>
    </row>
    <row r="18" spans="1:11" x14ac:dyDescent="0.3">
      <c r="A18" s="16">
        <v>70736</v>
      </c>
      <c r="B18" s="16" t="s">
        <v>98</v>
      </c>
      <c r="C18" s="16" t="s">
        <v>19</v>
      </c>
      <c r="D18" s="16" t="s">
        <v>13</v>
      </c>
      <c r="E18" s="17">
        <v>6</v>
      </c>
      <c r="F18" s="17">
        <v>1.49</v>
      </c>
      <c r="G18" s="17">
        <v>48</v>
      </c>
      <c r="H18" s="17">
        <v>71.52</v>
      </c>
      <c r="I18" s="18">
        <v>30</v>
      </c>
      <c r="J18" s="16" t="s">
        <v>14</v>
      </c>
      <c r="K18" s="35">
        <f t="shared" si="1"/>
        <v>47.19</v>
      </c>
    </row>
    <row r="19" spans="1:11" x14ac:dyDescent="0.3">
      <c r="A19" s="16">
        <v>70737</v>
      </c>
      <c r="B19" s="16" t="s">
        <v>99</v>
      </c>
      <c r="C19" s="16" t="s">
        <v>121</v>
      </c>
      <c r="D19" s="16" t="s">
        <v>13</v>
      </c>
      <c r="E19" s="17">
        <v>6</v>
      </c>
      <c r="F19" s="17">
        <v>1.47</v>
      </c>
      <c r="G19" s="17">
        <v>48</v>
      </c>
      <c r="H19" s="17">
        <v>70.56</v>
      </c>
      <c r="I19" s="18">
        <v>30</v>
      </c>
      <c r="J19" s="16" t="s">
        <v>14</v>
      </c>
      <c r="K19" s="35">
        <f t="shared" si="1"/>
        <v>47.19</v>
      </c>
    </row>
    <row r="20" spans="1:11" x14ac:dyDescent="0.3">
      <c r="A20" s="16">
        <v>70740</v>
      </c>
      <c r="B20" s="16" t="s">
        <v>191</v>
      </c>
      <c r="C20" s="16" t="s">
        <v>121</v>
      </c>
      <c r="D20" s="16" t="s">
        <v>13</v>
      </c>
      <c r="E20" s="17">
        <v>6</v>
      </c>
      <c r="F20" s="17">
        <v>1.47</v>
      </c>
      <c r="G20" s="17">
        <v>48</v>
      </c>
      <c r="H20" s="17">
        <v>70.56</v>
      </c>
      <c r="I20" s="18">
        <v>30</v>
      </c>
      <c r="J20" s="16" t="s">
        <v>14</v>
      </c>
      <c r="K20" s="35">
        <f t="shared" si="1"/>
        <v>49.39</v>
      </c>
    </row>
    <row r="21" spans="1:11" x14ac:dyDescent="0.3">
      <c r="A21" s="16">
        <v>70741</v>
      </c>
      <c r="B21" s="16" t="s">
        <v>192</v>
      </c>
      <c r="C21" s="16" t="s">
        <v>121</v>
      </c>
      <c r="D21" s="16" t="s">
        <v>13</v>
      </c>
      <c r="E21" s="17">
        <v>6</v>
      </c>
      <c r="F21" s="17">
        <v>1.47</v>
      </c>
      <c r="G21" s="17">
        <v>48</v>
      </c>
      <c r="H21" s="17">
        <v>70.56</v>
      </c>
      <c r="I21" s="18">
        <v>30</v>
      </c>
      <c r="J21" s="16" t="s">
        <v>14</v>
      </c>
      <c r="K21" s="35">
        <f t="shared" si="1"/>
        <v>49.39</v>
      </c>
    </row>
    <row r="22" spans="1:11" x14ac:dyDescent="0.3">
      <c r="A22" s="16">
        <v>70742</v>
      </c>
      <c r="B22" s="16" t="s">
        <v>193</v>
      </c>
      <c r="C22" s="16" t="s">
        <v>121</v>
      </c>
      <c r="D22" s="16" t="s">
        <v>13</v>
      </c>
      <c r="E22" s="17">
        <v>6</v>
      </c>
      <c r="F22" s="17">
        <v>1.47</v>
      </c>
      <c r="G22" s="17">
        <v>48</v>
      </c>
      <c r="H22" s="17">
        <v>70.56</v>
      </c>
      <c r="I22" s="18">
        <v>30</v>
      </c>
      <c r="J22" s="16" t="s">
        <v>14</v>
      </c>
      <c r="K22" s="35">
        <f t="shared" si="1"/>
        <v>47.19</v>
      </c>
    </row>
    <row r="23" spans="1:11" x14ac:dyDescent="0.3">
      <c r="A23" s="16">
        <v>70743</v>
      </c>
      <c r="B23" s="16" t="s">
        <v>183</v>
      </c>
      <c r="C23" s="16" t="s">
        <v>121</v>
      </c>
      <c r="D23" s="16" t="s">
        <v>248</v>
      </c>
      <c r="E23" s="17">
        <v>6</v>
      </c>
      <c r="F23" s="17">
        <v>1.47</v>
      </c>
      <c r="G23" s="17">
        <v>48</v>
      </c>
      <c r="H23" s="17">
        <v>70.56</v>
      </c>
      <c r="I23" s="18">
        <v>30</v>
      </c>
      <c r="J23" s="16" t="s">
        <v>247</v>
      </c>
      <c r="K23" s="35">
        <f t="shared" si="1"/>
        <v>57.09</v>
      </c>
    </row>
    <row r="24" spans="1:11" x14ac:dyDescent="0.3">
      <c r="A24" s="16">
        <v>70744</v>
      </c>
      <c r="B24" s="16" t="s">
        <v>184</v>
      </c>
      <c r="C24" s="16" t="s">
        <v>121</v>
      </c>
      <c r="D24" s="16" t="s">
        <v>248</v>
      </c>
      <c r="E24" s="17">
        <v>6</v>
      </c>
      <c r="F24" s="17">
        <v>1.47</v>
      </c>
      <c r="G24" s="17">
        <v>48</v>
      </c>
      <c r="H24" s="17">
        <v>70.56</v>
      </c>
      <c r="I24" s="18">
        <v>30</v>
      </c>
      <c r="J24" s="16" t="s">
        <v>182</v>
      </c>
      <c r="K24" s="35">
        <f t="shared" si="1"/>
        <v>50.49</v>
      </c>
    </row>
    <row r="25" spans="1:11" x14ac:dyDescent="0.3">
      <c r="A25" s="19"/>
      <c r="B25" s="19"/>
      <c r="C25" s="19"/>
      <c r="D25" s="19"/>
      <c r="E25" s="20"/>
      <c r="F25" s="20"/>
      <c r="G25" s="20"/>
      <c r="H25" s="20"/>
      <c r="I25" s="21"/>
      <c r="J25" s="19"/>
      <c r="K25" s="36"/>
    </row>
    <row r="26" spans="1:11" x14ac:dyDescent="0.3">
      <c r="A26" s="19"/>
      <c r="B26" s="19"/>
      <c r="C26" s="19"/>
      <c r="D26" s="19"/>
      <c r="E26" s="20"/>
      <c r="F26" s="20"/>
      <c r="G26" s="20"/>
      <c r="H26" s="20"/>
      <c r="I26" s="21"/>
      <c r="J26" s="19"/>
      <c r="K26" s="36"/>
    </row>
    <row r="27" spans="1:11" x14ac:dyDescent="0.3">
      <c r="A27" s="100" t="s">
        <v>23</v>
      </c>
      <c r="B27" s="101"/>
      <c r="C27" s="49"/>
      <c r="K27" s="36"/>
    </row>
    <row r="28" spans="1:11" x14ac:dyDescent="0.3">
      <c r="A28" s="102"/>
      <c r="B28" s="103"/>
      <c r="C28" s="99"/>
      <c r="D28" s="99"/>
      <c r="E28" s="99"/>
      <c r="F28" s="99"/>
      <c r="G28" s="99"/>
      <c r="H28" s="99"/>
      <c r="I28" s="99"/>
      <c r="J28" s="99"/>
      <c r="K28" s="99"/>
    </row>
    <row r="29" spans="1:11" x14ac:dyDescent="0.3">
      <c r="A29" s="1" t="s">
        <v>1</v>
      </c>
      <c r="B29" s="1" t="s">
        <v>2</v>
      </c>
      <c r="C29" s="1" t="s">
        <v>3</v>
      </c>
      <c r="D29" s="1" t="s">
        <v>4</v>
      </c>
      <c r="E29" s="1" t="s">
        <v>5</v>
      </c>
      <c r="F29" s="1" t="s">
        <v>6</v>
      </c>
      <c r="G29" s="1" t="s">
        <v>7</v>
      </c>
      <c r="H29" s="1" t="s">
        <v>8</v>
      </c>
      <c r="I29" s="1" t="s">
        <v>9</v>
      </c>
      <c r="J29" s="1" t="s">
        <v>10</v>
      </c>
      <c r="K29" s="37" t="s">
        <v>11</v>
      </c>
    </row>
    <row r="30" spans="1:11" x14ac:dyDescent="0.3">
      <c r="A30" s="5">
        <v>70624</v>
      </c>
      <c r="B30" s="22" t="s">
        <v>24</v>
      </c>
      <c r="C30" s="22" t="s">
        <v>96</v>
      </c>
      <c r="D30" s="22" t="s">
        <v>13</v>
      </c>
      <c r="E30" s="6">
        <v>3</v>
      </c>
      <c r="F30" s="6">
        <v>2.2799999999999998</v>
      </c>
      <c r="G30" s="6">
        <v>28</v>
      </c>
      <c r="H30" s="6">
        <v>63.84</v>
      </c>
      <c r="I30" s="7">
        <v>48</v>
      </c>
      <c r="J30" s="22" t="s">
        <v>14</v>
      </c>
      <c r="K30" s="35">
        <f t="shared" ref="K30:K40" si="2">VLOOKUP(A30,tabelas,2,FALSE)</f>
        <v>46.75</v>
      </c>
    </row>
    <row r="31" spans="1:11" x14ac:dyDescent="0.3">
      <c r="A31" s="5">
        <v>70626</v>
      </c>
      <c r="B31" s="22" t="s">
        <v>25</v>
      </c>
      <c r="C31" s="22" t="s">
        <v>96</v>
      </c>
      <c r="D31" s="22" t="s">
        <v>13</v>
      </c>
      <c r="E31" s="6">
        <v>3</v>
      </c>
      <c r="F31" s="6">
        <v>2.2799999999999998</v>
      </c>
      <c r="G31" s="6">
        <v>28</v>
      </c>
      <c r="H31" s="6">
        <v>63.84</v>
      </c>
      <c r="I31" s="7">
        <v>48</v>
      </c>
      <c r="J31" s="22" t="s">
        <v>14</v>
      </c>
      <c r="K31" s="35">
        <f t="shared" si="2"/>
        <v>45.65</v>
      </c>
    </row>
    <row r="32" spans="1:11" x14ac:dyDescent="0.3">
      <c r="A32" s="5">
        <v>70648</v>
      </c>
      <c r="B32" s="23" t="s">
        <v>26</v>
      </c>
      <c r="C32" s="5" t="s">
        <v>96</v>
      </c>
      <c r="D32" s="2" t="s">
        <v>13</v>
      </c>
      <c r="E32" s="6">
        <v>3</v>
      </c>
      <c r="F32" s="6">
        <v>2.2799999999999998</v>
      </c>
      <c r="G32" s="6">
        <v>28</v>
      </c>
      <c r="H32" s="6">
        <v>63.84</v>
      </c>
      <c r="I32" s="7">
        <v>48</v>
      </c>
      <c r="J32" s="2" t="s">
        <v>14</v>
      </c>
      <c r="K32" s="35">
        <f t="shared" si="2"/>
        <v>47.85</v>
      </c>
    </row>
    <row r="33" spans="1:11" x14ac:dyDescent="0.3">
      <c r="A33" s="5">
        <v>70652</v>
      </c>
      <c r="B33" s="23" t="s">
        <v>27</v>
      </c>
      <c r="C33" s="5" t="s">
        <v>96</v>
      </c>
      <c r="D33" s="2" t="s">
        <v>13</v>
      </c>
      <c r="E33" s="6">
        <v>3</v>
      </c>
      <c r="F33" s="6">
        <v>2.2799999999999998</v>
      </c>
      <c r="G33" s="6">
        <v>28</v>
      </c>
      <c r="H33" s="6">
        <v>63.84</v>
      </c>
      <c r="I33" s="7">
        <v>48</v>
      </c>
      <c r="J33" s="2" t="s">
        <v>14</v>
      </c>
      <c r="K33" s="35">
        <f t="shared" si="2"/>
        <v>45.65</v>
      </c>
    </row>
    <row r="34" spans="1:11" x14ac:dyDescent="0.3">
      <c r="A34" s="5">
        <v>70653</v>
      </c>
      <c r="B34" s="23" t="s">
        <v>28</v>
      </c>
      <c r="C34" s="5" t="s">
        <v>96</v>
      </c>
      <c r="D34" s="2" t="s">
        <v>13</v>
      </c>
      <c r="E34" s="6">
        <v>3</v>
      </c>
      <c r="F34" s="6">
        <v>2.2799999999999998</v>
      </c>
      <c r="G34" s="6">
        <v>28</v>
      </c>
      <c r="H34" s="6">
        <v>63.84</v>
      </c>
      <c r="I34" s="7">
        <v>48</v>
      </c>
      <c r="J34" s="2" t="s">
        <v>14</v>
      </c>
      <c r="K34" s="35">
        <f t="shared" si="2"/>
        <v>45.65</v>
      </c>
    </row>
    <row r="35" spans="1:11" x14ac:dyDescent="0.3">
      <c r="A35" s="5">
        <v>70654</v>
      </c>
      <c r="B35" s="23" t="s">
        <v>29</v>
      </c>
      <c r="C35" s="5" t="s">
        <v>96</v>
      </c>
      <c r="D35" s="2" t="s">
        <v>16</v>
      </c>
      <c r="E35" s="6">
        <v>3</v>
      </c>
      <c r="F35" s="6">
        <v>2.2799999999999998</v>
      </c>
      <c r="G35" s="6">
        <v>28</v>
      </c>
      <c r="H35" s="6">
        <v>63.84</v>
      </c>
      <c r="I35" s="7">
        <v>48</v>
      </c>
      <c r="J35" s="2" t="s">
        <v>17</v>
      </c>
      <c r="K35" s="35">
        <f t="shared" si="2"/>
        <v>46.75</v>
      </c>
    </row>
    <row r="36" spans="1:11" x14ac:dyDescent="0.3">
      <c r="A36" s="5">
        <v>70657</v>
      </c>
      <c r="B36" s="23" t="s">
        <v>30</v>
      </c>
      <c r="C36" s="5" t="s">
        <v>96</v>
      </c>
      <c r="D36" s="2" t="s">
        <v>13</v>
      </c>
      <c r="E36" s="6">
        <v>3</v>
      </c>
      <c r="F36" s="6">
        <v>2.2799999999999998</v>
      </c>
      <c r="G36" s="6">
        <v>28</v>
      </c>
      <c r="H36" s="6">
        <v>63.84</v>
      </c>
      <c r="I36" s="7">
        <v>48</v>
      </c>
      <c r="J36" s="2" t="s">
        <v>14</v>
      </c>
      <c r="K36" s="35">
        <f t="shared" si="2"/>
        <v>46.75</v>
      </c>
    </row>
    <row r="37" spans="1:11" x14ac:dyDescent="0.3">
      <c r="A37" s="5">
        <v>70674</v>
      </c>
      <c r="B37" s="23" t="s">
        <v>169</v>
      </c>
      <c r="C37" s="5" t="s">
        <v>96</v>
      </c>
      <c r="D37" s="2" t="s">
        <v>13</v>
      </c>
      <c r="E37" s="6">
        <v>3</v>
      </c>
      <c r="F37" s="6">
        <v>2.2799999999999998</v>
      </c>
      <c r="G37" s="6">
        <v>28</v>
      </c>
      <c r="H37" s="6">
        <v>63.84</v>
      </c>
      <c r="I37" s="7">
        <v>48</v>
      </c>
      <c r="J37" s="2" t="s">
        <v>41</v>
      </c>
      <c r="K37" s="35">
        <f t="shared" si="2"/>
        <v>50.49</v>
      </c>
    </row>
    <row r="38" spans="1:11" x14ac:dyDescent="0.3">
      <c r="A38" s="5">
        <v>70676</v>
      </c>
      <c r="B38" s="23" t="s">
        <v>185</v>
      </c>
      <c r="C38" s="5" t="s">
        <v>96</v>
      </c>
      <c r="D38" s="2" t="s">
        <v>13</v>
      </c>
      <c r="E38" s="6">
        <v>3</v>
      </c>
      <c r="F38" s="6">
        <v>2.2799999999999998</v>
      </c>
      <c r="G38" s="6">
        <v>28</v>
      </c>
      <c r="H38" s="6">
        <v>63.84</v>
      </c>
      <c r="I38" s="7">
        <v>48</v>
      </c>
      <c r="J38" s="2" t="s">
        <v>14</v>
      </c>
      <c r="K38" s="35">
        <f t="shared" si="2"/>
        <v>47.85</v>
      </c>
    </row>
    <row r="39" spans="1:11" x14ac:dyDescent="0.3">
      <c r="A39" s="5">
        <v>70684</v>
      </c>
      <c r="B39" s="5" t="s">
        <v>202</v>
      </c>
      <c r="C39" s="5" t="s">
        <v>96</v>
      </c>
      <c r="D39" s="5" t="s">
        <v>199</v>
      </c>
      <c r="E39" s="5">
        <v>3</v>
      </c>
      <c r="F39" s="5">
        <v>2.2799999999999998</v>
      </c>
      <c r="G39" s="5">
        <v>28</v>
      </c>
      <c r="H39" s="5">
        <v>63.84</v>
      </c>
      <c r="I39" s="51">
        <v>48</v>
      </c>
      <c r="J39" s="5" t="s">
        <v>14</v>
      </c>
      <c r="K39" s="35">
        <f t="shared" si="2"/>
        <v>55.99</v>
      </c>
    </row>
    <row r="40" spans="1:11" x14ac:dyDescent="0.3">
      <c r="A40" s="5">
        <v>70687</v>
      </c>
      <c r="B40" s="5" t="s">
        <v>203</v>
      </c>
      <c r="C40" s="5" t="s">
        <v>96</v>
      </c>
      <c r="D40" s="22" t="s">
        <v>201</v>
      </c>
      <c r="E40" s="6">
        <v>3</v>
      </c>
      <c r="F40" s="6">
        <v>2.2799999999999998</v>
      </c>
      <c r="G40" s="6">
        <v>28</v>
      </c>
      <c r="H40" s="6">
        <v>63.84</v>
      </c>
      <c r="I40" s="50">
        <v>48</v>
      </c>
      <c r="J40" s="2" t="s">
        <v>41</v>
      </c>
      <c r="K40" s="35">
        <f t="shared" si="2"/>
        <v>62.59</v>
      </c>
    </row>
    <row r="41" spans="1:11" x14ac:dyDescent="0.3">
      <c r="A41" s="54">
        <v>70689</v>
      </c>
      <c r="B41" s="54" t="s">
        <v>273</v>
      </c>
      <c r="C41" s="54" t="s">
        <v>96</v>
      </c>
      <c r="D41" s="64" t="s">
        <v>13</v>
      </c>
      <c r="E41" s="56">
        <v>3</v>
      </c>
      <c r="F41" s="56">
        <v>2.2799999999999998</v>
      </c>
      <c r="G41" s="56">
        <v>28</v>
      </c>
      <c r="H41" s="56">
        <v>63.84</v>
      </c>
      <c r="I41" s="63">
        <v>48</v>
      </c>
      <c r="J41" s="55" t="s">
        <v>14</v>
      </c>
      <c r="K41" s="58">
        <v>47.190000000000005</v>
      </c>
    </row>
    <row r="42" spans="1:11" x14ac:dyDescent="0.3">
      <c r="A42" s="54">
        <v>70691</v>
      </c>
      <c r="B42" s="54" t="s">
        <v>274</v>
      </c>
      <c r="C42" s="54" t="s">
        <v>96</v>
      </c>
      <c r="D42" s="64" t="s">
        <v>199</v>
      </c>
      <c r="E42" s="56">
        <v>3</v>
      </c>
      <c r="F42" s="56">
        <v>2.2799999999999998</v>
      </c>
      <c r="G42" s="56">
        <v>28</v>
      </c>
      <c r="H42" s="56">
        <v>63.84</v>
      </c>
      <c r="I42" s="63">
        <v>48</v>
      </c>
      <c r="J42" s="55" t="s">
        <v>41</v>
      </c>
      <c r="K42" s="58">
        <v>55.99</v>
      </c>
    </row>
    <row r="43" spans="1:11" x14ac:dyDescent="0.3">
      <c r="A43" s="54">
        <v>70692</v>
      </c>
      <c r="B43" s="54" t="s">
        <v>275</v>
      </c>
      <c r="C43" s="54" t="s">
        <v>96</v>
      </c>
      <c r="D43" s="64" t="s">
        <v>199</v>
      </c>
      <c r="E43" s="56">
        <v>3</v>
      </c>
      <c r="F43" s="56">
        <v>2.2799999999999998</v>
      </c>
      <c r="G43" s="56">
        <v>28</v>
      </c>
      <c r="H43" s="56">
        <v>63.84</v>
      </c>
      <c r="I43" s="63">
        <v>48</v>
      </c>
      <c r="J43" s="55" t="s">
        <v>41</v>
      </c>
      <c r="K43" s="58">
        <v>55.99</v>
      </c>
    </row>
    <row r="44" spans="1:11" x14ac:dyDescent="0.3">
      <c r="A44" s="8"/>
      <c r="B44" s="24"/>
      <c r="C44" s="24"/>
      <c r="D44" s="24"/>
      <c r="E44" s="11"/>
      <c r="F44" s="12"/>
      <c r="G44" s="11"/>
      <c r="H44" s="12"/>
      <c r="I44" s="12"/>
      <c r="J44" s="24"/>
      <c r="K44" s="36"/>
    </row>
    <row r="45" spans="1:11" x14ac:dyDescent="0.3">
      <c r="A45" s="100" t="s">
        <v>31</v>
      </c>
      <c r="B45" s="101"/>
      <c r="C45" s="49"/>
      <c r="K45" s="36"/>
    </row>
    <row r="46" spans="1:11" x14ac:dyDescent="0.3">
      <c r="A46" s="102"/>
      <c r="B46" s="103"/>
      <c r="C46" s="99"/>
      <c r="D46" s="99"/>
      <c r="E46" s="99"/>
      <c r="F46" s="99"/>
      <c r="G46" s="99"/>
      <c r="H46" s="99"/>
      <c r="I46" s="99"/>
      <c r="J46" s="99"/>
      <c r="K46" s="99"/>
    </row>
    <row r="47" spans="1:11" x14ac:dyDescent="0.3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7</v>
      </c>
      <c r="H47" s="1" t="s">
        <v>8</v>
      </c>
      <c r="I47" s="1" t="s">
        <v>9</v>
      </c>
      <c r="J47" s="1" t="s">
        <v>10</v>
      </c>
      <c r="K47" s="37" t="s">
        <v>11</v>
      </c>
    </row>
    <row r="48" spans="1:11" x14ac:dyDescent="0.3">
      <c r="A48" s="5">
        <v>70631</v>
      </c>
      <c r="B48" s="6" t="s">
        <v>34</v>
      </c>
      <c r="C48" s="22" t="s">
        <v>100</v>
      </c>
      <c r="D48" s="22" t="s">
        <v>32</v>
      </c>
      <c r="E48" s="6">
        <v>3</v>
      </c>
      <c r="F48" s="7">
        <v>2.2799999999999998</v>
      </c>
      <c r="G48" s="6">
        <v>28</v>
      </c>
      <c r="H48" s="7">
        <v>63.84</v>
      </c>
      <c r="I48" s="7">
        <v>48</v>
      </c>
      <c r="J48" s="22" t="s">
        <v>33</v>
      </c>
      <c r="K48" s="35">
        <f t="shared" ref="K48:K51" si="3">VLOOKUP(A48,tabelas,2,FALSE)</f>
        <v>52.69</v>
      </c>
    </row>
    <row r="49" spans="1:11" x14ac:dyDescent="0.3">
      <c r="A49" s="5">
        <v>70649</v>
      </c>
      <c r="B49" s="5" t="s">
        <v>35</v>
      </c>
      <c r="C49" s="5" t="s">
        <v>100</v>
      </c>
      <c r="D49" s="22" t="s">
        <v>32</v>
      </c>
      <c r="E49" s="6">
        <v>3</v>
      </c>
      <c r="F49" s="6">
        <v>2.2799999999999998</v>
      </c>
      <c r="G49" s="6">
        <v>28</v>
      </c>
      <c r="H49" s="6">
        <v>63.84</v>
      </c>
      <c r="I49" s="7">
        <v>48</v>
      </c>
      <c r="J49" s="2" t="s">
        <v>33</v>
      </c>
      <c r="K49" s="35">
        <f t="shared" si="3"/>
        <v>58.19</v>
      </c>
    </row>
    <row r="50" spans="1:11" x14ac:dyDescent="0.3">
      <c r="A50" s="5">
        <v>70682</v>
      </c>
      <c r="B50" s="5" t="s">
        <v>204</v>
      </c>
      <c r="C50" s="5" t="s">
        <v>100</v>
      </c>
      <c r="D50" s="22" t="s">
        <v>205</v>
      </c>
      <c r="E50" s="6">
        <v>3</v>
      </c>
      <c r="F50" s="6">
        <v>2.2799999999999998</v>
      </c>
      <c r="G50" s="6">
        <v>28</v>
      </c>
      <c r="H50" s="6">
        <v>63.84</v>
      </c>
      <c r="I50" s="50">
        <v>48</v>
      </c>
      <c r="J50" s="5" t="s">
        <v>14</v>
      </c>
      <c r="K50" s="35">
        <f t="shared" si="3"/>
        <v>65.89</v>
      </c>
    </row>
    <row r="51" spans="1:11" x14ac:dyDescent="0.3">
      <c r="A51" s="5">
        <v>70683</v>
      </c>
      <c r="B51" s="5" t="s">
        <v>206</v>
      </c>
      <c r="C51" s="5" t="s">
        <v>100</v>
      </c>
      <c r="D51" s="22" t="s">
        <v>205</v>
      </c>
      <c r="E51" s="6">
        <v>3</v>
      </c>
      <c r="F51" s="6">
        <v>2.2799999999999998</v>
      </c>
      <c r="G51" s="6">
        <v>28</v>
      </c>
      <c r="H51" s="6">
        <v>63.84</v>
      </c>
      <c r="I51" s="50">
        <v>48</v>
      </c>
      <c r="J51" s="5" t="s">
        <v>14</v>
      </c>
      <c r="K51" s="35">
        <f t="shared" si="3"/>
        <v>65.89</v>
      </c>
    </row>
    <row r="52" spans="1:11" x14ac:dyDescent="0.3">
      <c r="A52" s="27"/>
      <c r="B52" s="27"/>
      <c r="C52" s="27"/>
      <c r="D52" s="28"/>
      <c r="E52" s="29"/>
      <c r="F52" s="30"/>
      <c r="G52" s="29"/>
      <c r="H52" s="30"/>
      <c r="I52" s="30"/>
      <c r="J52" s="27"/>
      <c r="K52" s="36"/>
    </row>
    <row r="53" spans="1:11" x14ac:dyDescent="0.3">
      <c r="A53" s="27"/>
      <c r="B53" s="27"/>
      <c r="C53" s="27"/>
      <c r="D53" s="28"/>
      <c r="E53" s="29"/>
      <c r="F53" s="30"/>
      <c r="G53" s="29"/>
      <c r="H53" s="30"/>
      <c r="I53" s="30"/>
      <c r="J53" s="27"/>
      <c r="K53" s="36"/>
    </row>
    <row r="54" spans="1:11" x14ac:dyDescent="0.3">
      <c r="A54" s="8"/>
      <c r="B54" s="8"/>
      <c r="C54" s="8"/>
      <c r="D54" s="8"/>
      <c r="E54" s="11"/>
      <c r="F54" s="11"/>
      <c r="G54" s="11"/>
      <c r="H54" s="11"/>
      <c r="I54" s="12"/>
      <c r="J54" s="8"/>
      <c r="K54" s="36"/>
    </row>
    <row r="55" spans="1:11" x14ac:dyDescent="0.3">
      <c r="A55" s="100" t="s">
        <v>36</v>
      </c>
      <c r="B55" s="101"/>
      <c r="C55" s="49"/>
      <c r="K55" s="36"/>
    </row>
    <row r="56" spans="1:11" x14ac:dyDescent="0.3">
      <c r="A56" s="102"/>
      <c r="B56" s="103"/>
      <c r="C56" s="99"/>
      <c r="D56" s="99"/>
      <c r="E56" s="99"/>
      <c r="F56" s="99"/>
      <c r="G56" s="99"/>
      <c r="H56" s="99"/>
      <c r="I56" s="99"/>
      <c r="J56" s="99"/>
      <c r="K56" s="99"/>
    </row>
    <row r="57" spans="1:11" x14ac:dyDescent="0.3">
      <c r="A57" s="1" t="s">
        <v>1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37" t="s">
        <v>11</v>
      </c>
    </row>
    <row r="58" spans="1:11" x14ac:dyDescent="0.3">
      <c r="A58" s="5" t="s">
        <v>39</v>
      </c>
      <c r="B58" s="5" t="s">
        <v>40</v>
      </c>
      <c r="C58" s="2" t="s">
        <v>123</v>
      </c>
      <c r="D58" s="2" t="s">
        <v>37</v>
      </c>
      <c r="E58" s="6">
        <v>3</v>
      </c>
      <c r="F58" s="6">
        <v>2.2599999999999998</v>
      </c>
      <c r="G58" s="6">
        <v>28</v>
      </c>
      <c r="H58" s="6">
        <v>63.28</v>
      </c>
      <c r="I58" s="7">
        <v>48</v>
      </c>
      <c r="J58" s="2" t="s">
        <v>41</v>
      </c>
      <c r="K58" s="35">
        <f t="shared" ref="K58:K73" si="4">VLOOKUP(A58,tabelas,2,FALSE)</f>
        <v>58.19</v>
      </c>
    </row>
    <row r="59" spans="1:11" x14ac:dyDescent="0.3">
      <c r="A59" s="5" t="s">
        <v>42</v>
      </c>
      <c r="B59" s="5" t="s">
        <v>43</v>
      </c>
      <c r="C59" s="2" t="s">
        <v>123</v>
      </c>
      <c r="D59" s="2" t="s">
        <v>37</v>
      </c>
      <c r="E59" s="6">
        <v>3</v>
      </c>
      <c r="F59" s="6">
        <v>2.2599999999999998</v>
      </c>
      <c r="G59" s="6">
        <v>28</v>
      </c>
      <c r="H59" s="6">
        <v>63.28</v>
      </c>
      <c r="I59" s="7">
        <v>48</v>
      </c>
      <c r="J59" s="5" t="s">
        <v>38</v>
      </c>
      <c r="K59" s="35">
        <f t="shared" si="4"/>
        <v>57.64</v>
      </c>
    </row>
    <row r="60" spans="1:11" x14ac:dyDescent="0.3">
      <c r="A60" s="5" t="s">
        <v>44</v>
      </c>
      <c r="B60" s="5" t="s">
        <v>45</v>
      </c>
      <c r="C60" s="2" t="s">
        <v>123</v>
      </c>
      <c r="D60" s="2" t="s">
        <v>37</v>
      </c>
      <c r="E60" s="6">
        <v>3</v>
      </c>
      <c r="F60" s="7">
        <v>2.2599999999999998</v>
      </c>
      <c r="G60" s="6">
        <v>28</v>
      </c>
      <c r="H60" s="7">
        <v>63.28</v>
      </c>
      <c r="I60" s="7">
        <v>48</v>
      </c>
      <c r="J60" s="5" t="s">
        <v>41</v>
      </c>
      <c r="K60" s="35">
        <f t="shared" si="4"/>
        <v>58.19</v>
      </c>
    </row>
    <row r="61" spans="1:11" x14ac:dyDescent="0.3">
      <c r="A61" s="5" t="s">
        <v>46</v>
      </c>
      <c r="B61" s="5" t="s">
        <v>47</v>
      </c>
      <c r="C61" s="2" t="s">
        <v>123</v>
      </c>
      <c r="D61" s="2" t="s">
        <v>37</v>
      </c>
      <c r="E61" s="6">
        <v>3</v>
      </c>
      <c r="F61" s="7">
        <v>2.2599999999999998</v>
      </c>
      <c r="G61" s="6">
        <v>28</v>
      </c>
      <c r="H61" s="7">
        <v>63.28</v>
      </c>
      <c r="I61" s="7">
        <v>48</v>
      </c>
      <c r="J61" s="2" t="s">
        <v>41</v>
      </c>
      <c r="K61" s="35">
        <f t="shared" si="4"/>
        <v>62.59</v>
      </c>
    </row>
    <row r="62" spans="1:11" x14ac:dyDescent="0.3">
      <c r="A62" s="5" t="s">
        <v>48</v>
      </c>
      <c r="B62" s="5" t="s">
        <v>49</v>
      </c>
      <c r="C62" s="2" t="s">
        <v>123</v>
      </c>
      <c r="D62" s="2" t="s">
        <v>37</v>
      </c>
      <c r="E62" s="6">
        <v>3</v>
      </c>
      <c r="F62" s="7">
        <v>2.2599999999999998</v>
      </c>
      <c r="G62" s="6">
        <v>28</v>
      </c>
      <c r="H62" s="7">
        <v>63.28</v>
      </c>
      <c r="I62" s="7">
        <v>48</v>
      </c>
      <c r="J62" s="2" t="s">
        <v>41</v>
      </c>
      <c r="K62" s="35">
        <f t="shared" si="4"/>
        <v>57.64</v>
      </c>
    </row>
    <row r="63" spans="1:11" x14ac:dyDescent="0.3">
      <c r="A63" s="5" t="s">
        <v>51</v>
      </c>
      <c r="B63" s="5" t="s">
        <v>52</v>
      </c>
      <c r="C63" s="2" t="s">
        <v>123</v>
      </c>
      <c r="D63" s="2" t="s">
        <v>37</v>
      </c>
      <c r="E63" s="6">
        <v>3</v>
      </c>
      <c r="F63" s="7">
        <v>2.2599999999999998</v>
      </c>
      <c r="G63" s="6">
        <v>28</v>
      </c>
      <c r="H63" s="7">
        <v>63.28</v>
      </c>
      <c r="I63" s="7">
        <v>48</v>
      </c>
      <c r="J63" s="2" t="s">
        <v>41</v>
      </c>
      <c r="K63" s="35">
        <f t="shared" si="4"/>
        <v>57.64</v>
      </c>
    </row>
    <row r="64" spans="1:11" x14ac:dyDescent="0.3">
      <c r="A64" s="5" t="s">
        <v>101</v>
      </c>
      <c r="B64" s="5" t="s">
        <v>102</v>
      </c>
      <c r="C64" s="5" t="s">
        <v>123</v>
      </c>
      <c r="D64" s="2" t="s">
        <v>37</v>
      </c>
      <c r="E64" s="6">
        <v>3</v>
      </c>
      <c r="F64" s="7">
        <v>2.2599999999999998</v>
      </c>
      <c r="G64" s="6">
        <v>28</v>
      </c>
      <c r="H64" s="7">
        <v>63.28</v>
      </c>
      <c r="I64" s="7">
        <v>48</v>
      </c>
      <c r="J64" s="2" t="s">
        <v>41</v>
      </c>
      <c r="K64" s="35">
        <f t="shared" si="4"/>
        <v>57.64</v>
      </c>
    </row>
    <row r="65" spans="1:11" x14ac:dyDescent="0.3">
      <c r="A65" s="5" t="s">
        <v>103</v>
      </c>
      <c r="B65" s="5" t="s">
        <v>104</v>
      </c>
      <c r="C65" s="5" t="s">
        <v>123</v>
      </c>
      <c r="D65" s="2" t="s">
        <v>37</v>
      </c>
      <c r="E65" s="6">
        <v>3</v>
      </c>
      <c r="F65" s="7">
        <v>2.2599999999999998</v>
      </c>
      <c r="G65" s="6">
        <v>28</v>
      </c>
      <c r="H65" s="7">
        <v>63.28</v>
      </c>
      <c r="I65" s="7">
        <v>48</v>
      </c>
      <c r="J65" s="2" t="s">
        <v>41</v>
      </c>
      <c r="K65" s="35">
        <f t="shared" si="4"/>
        <v>57.64</v>
      </c>
    </row>
    <row r="66" spans="1:11" x14ac:dyDescent="0.3">
      <c r="A66" s="5" t="s">
        <v>105</v>
      </c>
      <c r="B66" s="5" t="s">
        <v>106</v>
      </c>
      <c r="C66" s="5" t="s">
        <v>123</v>
      </c>
      <c r="D66" s="2" t="s">
        <v>37</v>
      </c>
      <c r="E66" s="6">
        <v>3</v>
      </c>
      <c r="F66" s="7">
        <v>2.2599999999999998</v>
      </c>
      <c r="G66" s="6">
        <v>28</v>
      </c>
      <c r="H66" s="7">
        <v>63.28</v>
      </c>
      <c r="I66" s="7">
        <v>48</v>
      </c>
      <c r="J66" s="2" t="s">
        <v>41</v>
      </c>
      <c r="K66" s="35">
        <f t="shared" si="4"/>
        <v>57.64</v>
      </c>
    </row>
    <row r="67" spans="1:11" x14ac:dyDescent="0.3">
      <c r="A67" s="5" t="s">
        <v>124</v>
      </c>
      <c r="B67" s="5" t="s">
        <v>128</v>
      </c>
      <c r="C67" s="2" t="s">
        <v>123</v>
      </c>
      <c r="D67" s="2" t="s">
        <v>37</v>
      </c>
      <c r="E67" s="6">
        <v>3</v>
      </c>
      <c r="F67" s="7">
        <v>2.2599999999999998</v>
      </c>
      <c r="G67" s="6">
        <v>28</v>
      </c>
      <c r="H67" s="7">
        <v>63.28</v>
      </c>
      <c r="I67" s="7">
        <v>48</v>
      </c>
      <c r="J67" s="2" t="s">
        <v>41</v>
      </c>
      <c r="K67" s="35">
        <f t="shared" si="4"/>
        <v>64.790000000000006</v>
      </c>
    </row>
    <row r="68" spans="1:11" x14ac:dyDescent="0.3">
      <c r="A68" s="5" t="s">
        <v>125</v>
      </c>
      <c r="B68" s="5" t="s">
        <v>129</v>
      </c>
      <c r="C68" s="2" t="s">
        <v>123</v>
      </c>
      <c r="D68" s="2" t="s">
        <v>37</v>
      </c>
      <c r="E68" s="6">
        <v>3</v>
      </c>
      <c r="F68" s="7">
        <v>2.2599999999999998</v>
      </c>
      <c r="G68" s="6">
        <v>28</v>
      </c>
      <c r="H68" s="7">
        <v>63.28</v>
      </c>
      <c r="I68" s="7">
        <v>48</v>
      </c>
      <c r="J68" s="2" t="s">
        <v>41</v>
      </c>
      <c r="K68" s="35">
        <f t="shared" si="4"/>
        <v>58.19</v>
      </c>
    </row>
    <row r="69" spans="1:11" x14ac:dyDescent="0.3">
      <c r="A69" s="5" t="s">
        <v>186</v>
      </c>
      <c r="B69" s="5" t="s">
        <v>187</v>
      </c>
      <c r="C69" s="2" t="s">
        <v>123</v>
      </c>
      <c r="D69" s="2" t="s">
        <v>37</v>
      </c>
      <c r="E69" s="6">
        <v>3</v>
      </c>
      <c r="F69" s="7">
        <v>2.2599999999999998</v>
      </c>
      <c r="G69" s="6">
        <v>28</v>
      </c>
      <c r="H69" s="7">
        <v>63.28</v>
      </c>
      <c r="I69" s="7">
        <v>48</v>
      </c>
      <c r="J69" s="2" t="s">
        <v>41</v>
      </c>
      <c r="K69" s="35">
        <f t="shared" si="4"/>
        <v>58.19</v>
      </c>
    </row>
    <row r="70" spans="1:11" x14ac:dyDescent="0.3">
      <c r="A70" s="5" t="s">
        <v>207</v>
      </c>
      <c r="B70" s="5" t="s">
        <v>208</v>
      </c>
      <c r="C70" s="2" t="s">
        <v>123</v>
      </c>
      <c r="D70" s="2" t="s">
        <v>209</v>
      </c>
      <c r="E70" s="6">
        <v>3</v>
      </c>
      <c r="F70" s="6">
        <v>2.2599999999999998</v>
      </c>
      <c r="G70" s="6">
        <v>28</v>
      </c>
      <c r="H70" s="6">
        <v>63.28</v>
      </c>
      <c r="I70" s="50">
        <v>48</v>
      </c>
      <c r="J70" s="2" t="s">
        <v>33</v>
      </c>
      <c r="K70" s="35">
        <f t="shared" si="4"/>
        <v>74.69</v>
      </c>
    </row>
    <row r="71" spans="1:11" x14ac:dyDescent="0.3">
      <c r="A71" s="5" t="s">
        <v>210</v>
      </c>
      <c r="B71" s="5" t="s">
        <v>211</v>
      </c>
      <c r="C71" s="2" t="s">
        <v>123</v>
      </c>
      <c r="D71" s="2" t="s">
        <v>209</v>
      </c>
      <c r="E71" s="6">
        <v>3</v>
      </c>
      <c r="F71" s="6">
        <v>2.2599999999999998</v>
      </c>
      <c r="G71" s="6">
        <v>28</v>
      </c>
      <c r="H71" s="6">
        <v>63.28</v>
      </c>
      <c r="I71" s="50">
        <v>48</v>
      </c>
      <c r="J71" s="2" t="s">
        <v>33</v>
      </c>
      <c r="K71" s="35">
        <f t="shared" si="4"/>
        <v>74.69</v>
      </c>
    </row>
    <row r="72" spans="1:11" x14ac:dyDescent="0.3">
      <c r="A72" s="5" t="s">
        <v>213</v>
      </c>
      <c r="B72" s="5" t="s">
        <v>214</v>
      </c>
      <c r="C72" s="2" t="s">
        <v>123</v>
      </c>
      <c r="D72" s="2" t="s">
        <v>215</v>
      </c>
      <c r="E72" s="6">
        <v>3</v>
      </c>
      <c r="F72" s="6">
        <v>2.2599999999999998</v>
      </c>
      <c r="G72" s="6">
        <v>28</v>
      </c>
      <c r="H72" s="6">
        <v>63.28</v>
      </c>
      <c r="I72" s="50">
        <v>48</v>
      </c>
      <c r="J72" s="2" t="s">
        <v>41</v>
      </c>
      <c r="K72" s="35">
        <f t="shared" si="4"/>
        <v>64.790000000000006</v>
      </c>
    </row>
    <row r="73" spans="1:11" x14ac:dyDescent="0.3">
      <c r="A73" s="5" t="s">
        <v>216</v>
      </c>
      <c r="B73" s="5" t="s">
        <v>217</v>
      </c>
      <c r="C73" s="2" t="s">
        <v>123</v>
      </c>
      <c r="D73" s="2" t="s">
        <v>37</v>
      </c>
      <c r="E73" s="6">
        <v>3</v>
      </c>
      <c r="F73" s="6">
        <v>2.2599999999999998</v>
      </c>
      <c r="G73" s="6">
        <v>28</v>
      </c>
      <c r="H73" s="6">
        <v>63.28</v>
      </c>
      <c r="I73" s="50">
        <v>48</v>
      </c>
      <c r="J73" s="2" t="s">
        <v>41</v>
      </c>
      <c r="K73" s="35">
        <f t="shared" si="4"/>
        <v>61.49</v>
      </c>
    </row>
    <row r="74" spans="1:11" x14ac:dyDescent="0.3">
      <c r="A74" s="54" t="s">
        <v>269</v>
      </c>
      <c r="B74" s="54" t="s">
        <v>270</v>
      </c>
      <c r="C74" s="55" t="s">
        <v>123</v>
      </c>
      <c r="D74" s="55" t="s">
        <v>37</v>
      </c>
      <c r="E74" s="56">
        <v>3</v>
      </c>
      <c r="F74" s="56">
        <v>2.2599999999999998</v>
      </c>
      <c r="G74" s="56">
        <v>28</v>
      </c>
      <c r="H74" s="56">
        <v>63.28</v>
      </c>
      <c r="I74" s="63">
        <v>48</v>
      </c>
      <c r="J74" s="55" t="s">
        <v>41</v>
      </c>
      <c r="K74" s="58">
        <v>58.19</v>
      </c>
    </row>
    <row r="75" spans="1:11" x14ac:dyDescent="0.3">
      <c r="A75" s="54" t="s">
        <v>271</v>
      </c>
      <c r="B75" s="54" t="s">
        <v>272</v>
      </c>
      <c r="C75" s="55" t="s">
        <v>123</v>
      </c>
      <c r="D75" s="55" t="s">
        <v>37</v>
      </c>
      <c r="E75" s="56">
        <v>3</v>
      </c>
      <c r="F75" s="56">
        <v>2.2599999999999998</v>
      </c>
      <c r="G75" s="56">
        <v>28</v>
      </c>
      <c r="H75" s="56">
        <v>63.28</v>
      </c>
      <c r="I75" s="63">
        <v>48</v>
      </c>
      <c r="J75" s="55" t="s">
        <v>41</v>
      </c>
      <c r="K75" s="58">
        <v>58.19</v>
      </c>
    </row>
    <row r="76" spans="1:11" x14ac:dyDescent="0.3">
      <c r="A76" s="8"/>
      <c r="B76" s="8"/>
      <c r="C76" s="8"/>
      <c r="D76" s="8"/>
      <c r="E76" s="9"/>
      <c r="F76" s="9"/>
      <c r="G76" s="9"/>
      <c r="H76" s="9"/>
      <c r="I76" s="62"/>
      <c r="J76" s="8"/>
      <c r="K76" s="36"/>
    </row>
    <row r="77" spans="1:11" x14ac:dyDescent="0.3">
      <c r="A77" s="8"/>
      <c r="B77" s="8"/>
      <c r="C77" s="8"/>
      <c r="D77" s="8"/>
      <c r="E77" s="9"/>
      <c r="F77" s="9"/>
      <c r="G77" s="9"/>
      <c r="H77" s="9"/>
      <c r="I77" s="62"/>
      <c r="J77" s="8"/>
      <c r="K77" s="36"/>
    </row>
    <row r="78" spans="1:11" x14ac:dyDescent="0.3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1" x14ac:dyDescent="0.3">
      <c r="A79" s="104" t="str">
        <f>A2</f>
        <v>Tab.Geral NP - Atualizada em 15/01/2025</v>
      </c>
      <c r="B79" s="104"/>
      <c r="C79" s="27"/>
      <c r="D79" s="28"/>
      <c r="E79" s="31"/>
      <c r="F79" s="32"/>
      <c r="G79" s="31"/>
      <c r="H79" s="32"/>
      <c r="I79" s="32"/>
      <c r="J79" s="27"/>
      <c r="K79" s="36"/>
    </row>
    <row r="80" spans="1:11" x14ac:dyDescent="0.3">
      <c r="A80" s="100" t="s">
        <v>55</v>
      </c>
      <c r="B80" s="101"/>
      <c r="C80" s="49"/>
      <c r="K80" s="36"/>
    </row>
    <row r="81" spans="1:11" x14ac:dyDescent="0.3">
      <c r="A81" s="102"/>
      <c r="B81" s="103"/>
      <c r="C81" s="99"/>
      <c r="D81" s="99"/>
      <c r="E81" s="99"/>
      <c r="F81" s="99"/>
      <c r="G81" s="99"/>
      <c r="H81" s="99"/>
      <c r="I81" s="99"/>
      <c r="J81" s="99"/>
      <c r="K81" s="99"/>
    </row>
    <row r="82" spans="1:11" x14ac:dyDescent="0.3">
      <c r="A82" s="1" t="s">
        <v>1</v>
      </c>
      <c r="B82" s="1" t="s">
        <v>2</v>
      </c>
      <c r="C82" s="1" t="s">
        <v>3</v>
      </c>
      <c r="D82" s="1" t="s">
        <v>4</v>
      </c>
      <c r="E82" s="1" t="s">
        <v>5</v>
      </c>
      <c r="F82" s="1" t="s">
        <v>6</v>
      </c>
      <c r="G82" s="1" t="s">
        <v>7</v>
      </c>
      <c r="H82" s="1" t="s">
        <v>8</v>
      </c>
      <c r="I82" s="1" t="s">
        <v>9</v>
      </c>
      <c r="J82" s="1" t="s">
        <v>10</v>
      </c>
      <c r="K82" s="37" t="s">
        <v>11</v>
      </c>
    </row>
    <row r="83" spans="1:11" x14ac:dyDescent="0.3">
      <c r="A83" s="13" t="s">
        <v>58</v>
      </c>
      <c r="B83" s="13" t="s">
        <v>59</v>
      </c>
      <c r="C83" s="13" t="s">
        <v>57</v>
      </c>
      <c r="D83" s="26" t="s">
        <v>37</v>
      </c>
      <c r="E83" s="14">
        <v>3</v>
      </c>
      <c r="F83" s="14">
        <v>2.02</v>
      </c>
      <c r="G83" s="14">
        <v>32</v>
      </c>
      <c r="H83" s="14">
        <v>64.64</v>
      </c>
      <c r="I83" s="15">
        <v>46</v>
      </c>
      <c r="J83" s="26" t="s">
        <v>41</v>
      </c>
      <c r="K83" s="35">
        <f t="shared" ref="K83:K89" si="5">VLOOKUP(A83,tabelas,2,FALSE)</f>
        <v>53.79</v>
      </c>
    </row>
    <row r="84" spans="1:11" x14ac:dyDescent="0.3">
      <c r="A84" s="5" t="s">
        <v>61</v>
      </c>
      <c r="B84" s="5" t="s">
        <v>62</v>
      </c>
      <c r="C84" s="5" t="s">
        <v>57</v>
      </c>
      <c r="D84" s="2" t="s">
        <v>37</v>
      </c>
      <c r="E84" s="6">
        <v>3</v>
      </c>
      <c r="F84" s="6">
        <v>2.02</v>
      </c>
      <c r="G84" s="14">
        <v>32</v>
      </c>
      <c r="H84" s="14">
        <v>64.64</v>
      </c>
      <c r="I84" s="7">
        <v>46</v>
      </c>
      <c r="J84" s="2" t="s">
        <v>41</v>
      </c>
      <c r="K84" s="35">
        <f t="shared" si="5"/>
        <v>53.79</v>
      </c>
    </row>
    <row r="85" spans="1:11" x14ac:dyDescent="0.3">
      <c r="A85" s="5" t="s">
        <v>63</v>
      </c>
      <c r="B85" s="5" t="s">
        <v>40</v>
      </c>
      <c r="C85" s="5" t="s">
        <v>57</v>
      </c>
      <c r="D85" s="5" t="s">
        <v>37</v>
      </c>
      <c r="E85" s="6">
        <v>3</v>
      </c>
      <c r="F85" s="6">
        <v>2.02</v>
      </c>
      <c r="G85" s="14">
        <v>32</v>
      </c>
      <c r="H85" s="14">
        <v>64.64</v>
      </c>
      <c r="I85" s="7">
        <v>46</v>
      </c>
      <c r="J85" s="5" t="s">
        <v>41</v>
      </c>
      <c r="K85" s="35">
        <f t="shared" si="5"/>
        <v>53.79</v>
      </c>
    </row>
    <row r="86" spans="1:11" x14ac:dyDescent="0.3">
      <c r="A86" s="5" t="s">
        <v>64</v>
      </c>
      <c r="B86" s="5" t="s">
        <v>65</v>
      </c>
      <c r="C86" s="5" t="s">
        <v>57</v>
      </c>
      <c r="D86" s="2" t="s">
        <v>37</v>
      </c>
      <c r="E86" s="6">
        <v>3</v>
      </c>
      <c r="F86" s="6">
        <v>2.02</v>
      </c>
      <c r="G86" s="6">
        <v>32</v>
      </c>
      <c r="H86" s="6">
        <v>64.64</v>
      </c>
      <c r="I86" s="7">
        <v>46</v>
      </c>
      <c r="J86" s="2" t="s">
        <v>41</v>
      </c>
      <c r="K86" s="35">
        <f t="shared" si="5"/>
        <v>53.79</v>
      </c>
    </row>
    <row r="87" spans="1:11" x14ac:dyDescent="0.3">
      <c r="A87" s="5" t="s">
        <v>66</v>
      </c>
      <c r="B87" s="5" t="s">
        <v>67</v>
      </c>
      <c r="C87" s="5" t="s">
        <v>57</v>
      </c>
      <c r="D87" s="2" t="s">
        <v>37</v>
      </c>
      <c r="E87" s="6">
        <v>3</v>
      </c>
      <c r="F87" s="6">
        <v>2.02</v>
      </c>
      <c r="G87" s="6">
        <v>32</v>
      </c>
      <c r="H87" s="6">
        <v>64.64</v>
      </c>
      <c r="I87" s="7">
        <v>46</v>
      </c>
      <c r="J87" s="2" t="s">
        <v>41</v>
      </c>
      <c r="K87" s="35">
        <f t="shared" si="5"/>
        <v>53.79</v>
      </c>
    </row>
    <row r="88" spans="1:11" x14ac:dyDescent="0.3">
      <c r="A88" s="5" t="s">
        <v>107</v>
      </c>
      <c r="B88" s="5" t="s">
        <v>108</v>
      </c>
      <c r="C88" s="5" t="s">
        <v>57</v>
      </c>
      <c r="D88" s="2" t="s">
        <v>37</v>
      </c>
      <c r="E88" s="6">
        <v>3</v>
      </c>
      <c r="F88" s="6">
        <v>2.02</v>
      </c>
      <c r="G88" s="6">
        <v>32</v>
      </c>
      <c r="H88" s="6">
        <v>64.64</v>
      </c>
      <c r="I88" s="7">
        <v>46</v>
      </c>
      <c r="J88" s="2" t="s">
        <v>41</v>
      </c>
      <c r="K88" s="35">
        <f t="shared" si="5"/>
        <v>53.79</v>
      </c>
    </row>
    <row r="89" spans="1:11" x14ac:dyDescent="0.3">
      <c r="A89" s="5" t="s">
        <v>110</v>
      </c>
      <c r="B89" s="5" t="s">
        <v>111</v>
      </c>
      <c r="C89" s="5" t="s">
        <v>57</v>
      </c>
      <c r="D89" s="2" t="s">
        <v>37</v>
      </c>
      <c r="E89" s="6">
        <v>3</v>
      </c>
      <c r="F89" s="6">
        <v>2.02</v>
      </c>
      <c r="G89" s="6">
        <v>32</v>
      </c>
      <c r="H89" s="6">
        <v>64.64</v>
      </c>
      <c r="I89" s="7">
        <v>46</v>
      </c>
      <c r="J89" s="2" t="s">
        <v>41</v>
      </c>
      <c r="K89" s="35">
        <f t="shared" si="5"/>
        <v>52.69</v>
      </c>
    </row>
    <row r="90" spans="1:11" x14ac:dyDescent="0.3">
      <c r="A90" s="54" t="s">
        <v>276</v>
      </c>
      <c r="B90" s="54" t="s">
        <v>277</v>
      </c>
      <c r="C90" s="54" t="s">
        <v>57</v>
      </c>
      <c r="D90" s="55" t="s">
        <v>37</v>
      </c>
      <c r="E90" s="56">
        <v>3</v>
      </c>
      <c r="F90" s="56">
        <v>2.02</v>
      </c>
      <c r="G90" s="56">
        <v>32</v>
      </c>
      <c r="H90" s="56">
        <v>64.64</v>
      </c>
      <c r="I90" s="57">
        <v>46</v>
      </c>
      <c r="J90" s="55" t="s">
        <v>41</v>
      </c>
      <c r="K90" s="58">
        <v>52.69</v>
      </c>
    </row>
    <row r="91" spans="1:11" x14ac:dyDescent="0.3">
      <c r="A91" s="8"/>
      <c r="B91" s="8"/>
      <c r="C91" s="8"/>
      <c r="D91" s="8"/>
      <c r="E91" s="11"/>
      <c r="F91" s="11"/>
      <c r="G91" s="11"/>
      <c r="H91" s="11"/>
      <c r="I91" s="12"/>
      <c r="J91" s="8"/>
      <c r="K91" s="36"/>
    </row>
    <row r="92" spans="1:11" x14ac:dyDescent="0.3">
      <c r="A92" s="8"/>
      <c r="B92" s="8"/>
      <c r="C92" s="8"/>
      <c r="D92" s="8"/>
      <c r="E92" s="11"/>
      <c r="F92" s="11"/>
      <c r="G92" s="11"/>
      <c r="H92" s="11"/>
      <c r="I92" s="12"/>
      <c r="J92" s="8"/>
      <c r="K92" s="36"/>
    </row>
    <row r="93" spans="1:11" x14ac:dyDescent="0.3">
      <c r="A93" s="100" t="s">
        <v>68</v>
      </c>
      <c r="B93" s="101"/>
      <c r="C93" s="49"/>
      <c r="K93" s="36"/>
    </row>
    <row r="94" spans="1:11" x14ac:dyDescent="0.3">
      <c r="A94" s="102"/>
      <c r="B94" s="103"/>
      <c r="C94" s="99"/>
      <c r="D94" s="99"/>
      <c r="E94" s="99"/>
      <c r="F94" s="99"/>
      <c r="G94" s="99"/>
      <c r="H94" s="99"/>
      <c r="I94" s="99"/>
      <c r="J94" s="99"/>
      <c r="K94" s="99"/>
    </row>
    <row r="95" spans="1:11" x14ac:dyDescent="0.3">
      <c r="A95" s="1" t="s">
        <v>1</v>
      </c>
      <c r="B95" s="1" t="s">
        <v>2</v>
      </c>
      <c r="C95" s="1" t="s">
        <v>3</v>
      </c>
      <c r="D95" s="1" t="s">
        <v>4</v>
      </c>
      <c r="E95" s="1" t="s">
        <v>5</v>
      </c>
      <c r="F95" s="1" t="s">
        <v>6</v>
      </c>
      <c r="G95" s="1" t="s">
        <v>7</v>
      </c>
      <c r="H95" s="1" t="s">
        <v>8</v>
      </c>
      <c r="I95" s="1" t="s">
        <v>9</v>
      </c>
      <c r="J95" s="1" t="s">
        <v>10</v>
      </c>
      <c r="K95" s="37" t="s">
        <v>11</v>
      </c>
    </row>
    <row r="96" spans="1:11" x14ac:dyDescent="0.3">
      <c r="A96" s="13">
        <v>70508</v>
      </c>
      <c r="B96" s="13" t="s">
        <v>69</v>
      </c>
      <c r="C96" s="13" t="s">
        <v>122</v>
      </c>
      <c r="D96" s="13" t="s">
        <v>13</v>
      </c>
      <c r="E96" s="14">
        <v>4</v>
      </c>
      <c r="F96" s="14">
        <v>2.73</v>
      </c>
      <c r="G96" s="14">
        <v>32</v>
      </c>
      <c r="H96" s="15">
        <v>87.36</v>
      </c>
      <c r="I96" s="15">
        <v>48</v>
      </c>
      <c r="J96" s="13" t="s">
        <v>14</v>
      </c>
      <c r="K96" s="35">
        <f t="shared" ref="K96:K110" si="6">VLOOKUP(A96,tabelas,2,FALSE)</f>
        <v>40.590000000000003</v>
      </c>
    </row>
    <row r="97" spans="1:11" x14ac:dyDescent="0.3">
      <c r="A97" s="13">
        <v>70509</v>
      </c>
      <c r="B97" s="13" t="s">
        <v>70</v>
      </c>
      <c r="C97" s="13" t="s">
        <v>122</v>
      </c>
      <c r="D97" s="13" t="s">
        <v>13</v>
      </c>
      <c r="E97" s="14">
        <v>4</v>
      </c>
      <c r="F97" s="14">
        <v>2.73</v>
      </c>
      <c r="G97" s="14">
        <v>32</v>
      </c>
      <c r="H97" s="15">
        <v>87.36</v>
      </c>
      <c r="I97" s="15">
        <v>48</v>
      </c>
      <c r="J97" s="13" t="s">
        <v>14</v>
      </c>
      <c r="K97" s="35">
        <f t="shared" si="6"/>
        <v>41.69</v>
      </c>
    </row>
    <row r="98" spans="1:11" x14ac:dyDescent="0.3">
      <c r="A98" s="5">
        <v>70511</v>
      </c>
      <c r="B98" s="5" t="s">
        <v>71</v>
      </c>
      <c r="C98" s="5" t="s">
        <v>122</v>
      </c>
      <c r="D98" s="5" t="s">
        <v>13</v>
      </c>
      <c r="E98" s="6">
        <v>4</v>
      </c>
      <c r="F98" s="6">
        <v>2.73</v>
      </c>
      <c r="G98" s="14">
        <v>32</v>
      </c>
      <c r="H98" s="15">
        <v>87.36</v>
      </c>
      <c r="I98" s="7">
        <v>48</v>
      </c>
      <c r="J98" s="5" t="s">
        <v>14</v>
      </c>
      <c r="K98" s="35">
        <f t="shared" si="6"/>
        <v>42.79</v>
      </c>
    </row>
    <row r="99" spans="1:11" x14ac:dyDescent="0.3">
      <c r="A99" s="5">
        <v>70512</v>
      </c>
      <c r="B99" s="5" t="s">
        <v>72</v>
      </c>
      <c r="C99" s="5" t="s">
        <v>122</v>
      </c>
      <c r="D99" s="5" t="s">
        <v>13</v>
      </c>
      <c r="E99" s="6">
        <v>4</v>
      </c>
      <c r="F99" s="6">
        <v>2.73</v>
      </c>
      <c r="G99" s="14">
        <v>32</v>
      </c>
      <c r="H99" s="15">
        <v>87.36</v>
      </c>
      <c r="I99" s="7">
        <v>48</v>
      </c>
      <c r="J99" s="5" t="s">
        <v>14</v>
      </c>
      <c r="K99" s="35">
        <f t="shared" si="6"/>
        <v>40.590000000000003</v>
      </c>
    </row>
    <row r="100" spans="1:11" x14ac:dyDescent="0.3">
      <c r="A100" s="5">
        <v>70522</v>
      </c>
      <c r="B100" s="5" t="s">
        <v>73</v>
      </c>
      <c r="C100" s="5" t="s">
        <v>122</v>
      </c>
      <c r="D100" s="5" t="s">
        <v>13</v>
      </c>
      <c r="E100" s="6">
        <v>4</v>
      </c>
      <c r="F100" s="6">
        <v>2.73</v>
      </c>
      <c r="G100" s="6">
        <v>32</v>
      </c>
      <c r="H100" s="7">
        <v>87.36</v>
      </c>
      <c r="I100" s="7">
        <v>48</v>
      </c>
      <c r="J100" s="5" t="s">
        <v>14</v>
      </c>
      <c r="K100" s="35">
        <f t="shared" si="6"/>
        <v>42.79</v>
      </c>
    </row>
    <row r="101" spans="1:11" x14ac:dyDescent="0.3">
      <c r="A101" s="5">
        <v>70523</v>
      </c>
      <c r="B101" s="5" t="s">
        <v>74</v>
      </c>
      <c r="C101" s="5" t="s">
        <v>122</v>
      </c>
      <c r="D101" s="5" t="s">
        <v>13</v>
      </c>
      <c r="E101" s="6">
        <v>4</v>
      </c>
      <c r="F101" s="6">
        <v>2.73</v>
      </c>
      <c r="G101" s="6">
        <v>32</v>
      </c>
      <c r="H101" s="7">
        <v>87.36</v>
      </c>
      <c r="I101" s="7">
        <v>48</v>
      </c>
      <c r="J101" s="5" t="s">
        <v>14</v>
      </c>
      <c r="K101" s="35">
        <f t="shared" si="6"/>
        <v>41.69</v>
      </c>
    </row>
    <row r="102" spans="1:11" x14ac:dyDescent="0.3">
      <c r="A102" s="5">
        <v>70525</v>
      </c>
      <c r="B102" s="5" t="s">
        <v>75</v>
      </c>
      <c r="C102" s="5" t="s">
        <v>122</v>
      </c>
      <c r="D102" s="5" t="s">
        <v>16</v>
      </c>
      <c r="E102" s="6">
        <v>4</v>
      </c>
      <c r="F102" s="6">
        <v>2.73</v>
      </c>
      <c r="G102" s="6">
        <v>32</v>
      </c>
      <c r="H102" s="7">
        <v>87.36</v>
      </c>
      <c r="I102" s="7">
        <v>48</v>
      </c>
      <c r="J102" s="5" t="s">
        <v>17</v>
      </c>
      <c r="K102" s="35">
        <f t="shared" si="6"/>
        <v>42.79</v>
      </c>
    </row>
    <row r="103" spans="1:11" x14ac:dyDescent="0.3">
      <c r="A103" s="5">
        <v>70526</v>
      </c>
      <c r="B103" s="5" t="s">
        <v>76</v>
      </c>
      <c r="C103" s="5" t="s">
        <v>122</v>
      </c>
      <c r="D103" s="5" t="s">
        <v>13</v>
      </c>
      <c r="E103" s="6">
        <v>4</v>
      </c>
      <c r="F103" s="6">
        <v>2.73</v>
      </c>
      <c r="G103" s="6">
        <v>32</v>
      </c>
      <c r="H103" s="7">
        <v>87.36</v>
      </c>
      <c r="I103" s="7">
        <v>48</v>
      </c>
      <c r="J103" s="5" t="s">
        <v>14</v>
      </c>
      <c r="K103" s="35">
        <f t="shared" si="6"/>
        <v>40.590000000000003</v>
      </c>
    </row>
    <row r="104" spans="1:11" x14ac:dyDescent="0.3">
      <c r="A104" s="5">
        <v>70527</v>
      </c>
      <c r="B104" s="5" t="s">
        <v>77</v>
      </c>
      <c r="C104" s="5" t="s">
        <v>122</v>
      </c>
      <c r="D104" s="5" t="s">
        <v>13</v>
      </c>
      <c r="E104" s="6">
        <v>4</v>
      </c>
      <c r="F104" s="6">
        <v>2.73</v>
      </c>
      <c r="G104" s="6">
        <v>32</v>
      </c>
      <c r="H104" s="7">
        <v>87.36</v>
      </c>
      <c r="I104" s="7">
        <v>48</v>
      </c>
      <c r="J104" s="5" t="s">
        <v>14</v>
      </c>
      <c r="K104" s="35">
        <f t="shared" si="6"/>
        <v>39.49</v>
      </c>
    </row>
    <row r="105" spans="1:11" x14ac:dyDescent="0.3">
      <c r="A105" s="5">
        <v>70532</v>
      </c>
      <c r="B105" s="5" t="s">
        <v>112</v>
      </c>
      <c r="C105" s="5" t="s">
        <v>122</v>
      </c>
      <c r="D105" s="5" t="s">
        <v>13</v>
      </c>
      <c r="E105" s="6">
        <v>4</v>
      </c>
      <c r="F105" s="6">
        <v>2.73</v>
      </c>
      <c r="G105" s="6">
        <v>32</v>
      </c>
      <c r="H105" s="7">
        <v>87.36</v>
      </c>
      <c r="I105" s="7">
        <v>48</v>
      </c>
      <c r="J105" s="5" t="s">
        <v>14</v>
      </c>
      <c r="K105" s="35">
        <f t="shared" si="6"/>
        <v>40.590000000000003</v>
      </c>
    </row>
    <row r="106" spans="1:11" x14ac:dyDescent="0.3">
      <c r="A106" s="5">
        <v>70538</v>
      </c>
      <c r="B106" s="5" t="s">
        <v>179</v>
      </c>
      <c r="C106" s="5" t="s">
        <v>122</v>
      </c>
      <c r="D106" s="5" t="s">
        <v>13</v>
      </c>
      <c r="E106" s="6">
        <v>4</v>
      </c>
      <c r="F106" s="6">
        <v>2.73</v>
      </c>
      <c r="G106" s="6">
        <v>32</v>
      </c>
      <c r="H106" s="7">
        <v>87.36</v>
      </c>
      <c r="I106" s="7">
        <v>48</v>
      </c>
      <c r="J106" s="5" t="s">
        <v>14</v>
      </c>
      <c r="K106" s="35">
        <f t="shared" si="6"/>
        <v>41.69</v>
      </c>
    </row>
    <row r="107" spans="1:11" x14ac:dyDescent="0.3">
      <c r="A107" s="5">
        <v>70540</v>
      </c>
      <c r="B107" s="5" t="s">
        <v>180</v>
      </c>
      <c r="C107" s="5" t="s">
        <v>122</v>
      </c>
      <c r="D107" s="5" t="s">
        <v>13</v>
      </c>
      <c r="E107" s="6">
        <v>4</v>
      </c>
      <c r="F107" s="6">
        <v>2.73</v>
      </c>
      <c r="G107" s="6">
        <v>32</v>
      </c>
      <c r="H107" s="7">
        <v>87.36</v>
      </c>
      <c r="I107" s="7">
        <v>48</v>
      </c>
      <c r="J107" s="5" t="s">
        <v>14</v>
      </c>
      <c r="K107" s="35">
        <f t="shared" si="6"/>
        <v>41.69</v>
      </c>
    </row>
    <row r="108" spans="1:11" x14ac:dyDescent="0.3">
      <c r="A108" s="5">
        <v>70541</v>
      </c>
      <c r="B108" s="5" t="s">
        <v>194</v>
      </c>
      <c r="C108" s="5" t="s">
        <v>122</v>
      </c>
      <c r="D108" s="5" t="s">
        <v>13</v>
      </c>
      <c r="E108" s="6">
        <v>4</v>
      </c>
      <c r="F108" s="6">
        <v>2.73</v>
      </c>
      <c r="G108" s="6">
        <v>32</v>
      </c>
      <c r="H108" s="7">
        <v>87.36</v>
      </c>
      <c r="I108" s="7">
        <v>48</v>
      </c>
      <c r="J108" s="5" t="s">
        <v>14</v>
      </c>
      <c r="K108" s="35">
        <f t="shared" si="6"/>
        <v>41.69</v>
      </c>
    </row>
    <row r="109" spans="1:11" x14ac:dyDescent="0.3">
      <c r="A109" s="5">
        <v>70542</v>
      </c>
      <c r="B109" s="5" t="s">
        <v>195</v>
      </c>
      <c r="C109" s="5" t="s">
        <v>122</v>
      </c>
      <c r="D109" s="5" t="s">
        <v>13</v>
      </c>
      <c r="E109" s="6">
        <v>4</v>
      </c>
      <c r="F109" s="6">
        <v>2.73</v>
      </c>
      <c r="G109" s="6">
        <v>32</v>
      </c>
      <c r="H109" s="7">
        <v>87.36</v>
      </c>
      <c r="I109" s="7">
        <v>48</v>
      </c>
      <c r="J109" s="5" t="s">
        <v>14</v>
      </c>
      <c r="K109" s="35">
        <f t="shared" si="6"/>
        <v>42.79</v>
      </c>
    </row>
    <row r="110" spans="1:11" x14ac:dyDescent="0.3">
      <c r="A110" s="2">
        <v>70543</v>
      </c>
      <c r="B110" s="2" t="s">
        <v>218</v>
      </c>
      <c r="C110" s="2" t="s">
        <v>122</v>
      </c>
      <c r="D110" s="2" t="s">
        <v>197</v>
      </c>
      <c r="E110" s="3">
        <v>4</v>
      </c>
      <c r="F110" s="3">
        <v>2.73</v>
      </c>
      <c r="G110" s="3">
        <v>32</v>
      </c>
      <c r="H110" s="4">
        <v>87.36</v>
      </c>
      <c r="I110" s="52">
        <v>48</v>
      </c>
      <c r="J110" s="2" t="s">
        <v>219</v>
      </c>
      <c r="K110" s="35">
        <f t="shared" si="6"/>
        <v>44.99</v>
      </c>
    </row>
    <row r="111" spans="1:11" x14ac:dyDescent="0.3">
      <c r="A111" s="55">
        <v>70544</v>
      </c>
      <c r="B111" s="55" t="s">
        <v>278</v>
      </c>
      <c r="C111" s="55" t="s">
        <v>122</v>
      </c>
      <c r="D111" s="55" t="s">
        <v>13</v>
      </c>
      <c r="E111" s="59">
        <v>4</v>
      </c>
      <c r="F111" s="59">
        <v>2.73</v>
      </c>
      <c r="G111" s="59">
        <v>32</v>
      </c>
      <c r="H111" s="60">
        <v>87.36</v>
      </c>
      <c r="I111" s="61">
        <v>48</v>
      </c>
      <c r="J111" s="55" t="s">
        <v>14</v>
      </c>
      <c r="K111" s="58">
        <v>42.79</v>
      </c>
    </row>
    <row r="112" spans="1:11" x14ac:dyDescent="0.3">
      <c r="A112" s="55">
        <v>70545</v>
      </c>
      <c r="B112" s="55" t="s">
        <v>279</v>
      </c>
      <c r="C112" s="55" t="s">
        <v>122</v>
      </c>
      <c r="D112" s="55" t="s">
        <v>197</v>
      </c>
      <c r="E112" s="59">
        <v>4</v>
      </c>
      <c r="F112" s="59">
        <v>2.73</v>
      </c>
      <c r="G112" s="59">
        <v>32</v>
      </c>
      <c r="H112" s="60">
        <v>87.36</v>
      </c>
      <c r="I112" s="61">
        <v>48</v>
      </c>
      <c r="J112" s="55" t="s">
        <v>182</v>
      </c>
      <c r="K112" s="58">
        <v>44.99</v>
      </c>
    </row>
    <row r="113" spans="1:11" x14ac:dyDescent="0.3">
      <c r="K113" s="36"/>
    </row>
    <row r="114" spans="1:11" x14ac:dyDescent="0.3">
      <c r="A114" s="100" t="s">
        <v>78</v>
      </c>
      <c r="B114" s="101"/>
      <c r="C114" s="49"/>
      <c r="K114" s="36"/>
    </row>
    <row r="115" spans="1:11" x14ac:dyDescent="0.3">
      <c r="A115" s="102"/>
      <c r="B115" s="103"/>
      <c r="C115" s="99"/>
      <c r="D115" s="99"/>
      <c r="E115" s="99"/>
      <c r="F115" s="99"/>
      <c r="G115" s="99"/>
      <c r="H115" s="99"/>
      <c r="I115" s="99"/>
      <c r="J115" s="99"/>
      <c r="K115" s="99"/>
    </row>
    <row r="116" spans="1:11" x14ac:dyDescent="0.3">
      <c r="A116" s="1" t="s">
        <v>1</v>
      </c>
      <c r="B116" s="1" t="s">
        <v>2</v>
      </c>
      <c r="C116" s="1" t="s">
        <v>3</v>
      </c>
      <c r="D116" s="1" t="s">
        <v>4</v>
      </c>
      <c r="E116" s="1" t="s">
        <v>5</v>
      </c>
      <c r="F116" s="1" t="s">
        <v>6</v>
      </c>
      <c r="G116" s="1" t="s">
        <v>7</v>
      </c>
      <c r="H116" s="1" t="s">
        <v>8</v>
      </c>
      <c r="I116" s="1" t="s">
        <v>9</v>
      </c>
      <c r="J116" s="1" t="s">
        <v>10</v>
      </c>
      <c r="K116" s="37" t="s">
        <v>11</v>
      </c>
    </row>
    <row r="117" spans="1:11" x14ac:dyDescent="0.3">
      <c r="A117" s="5" t="s">
        <v>80</v>
      </c>
      <c r="B117" s="5" t="s">
        <v>81</v>
      </c>
      <c r="C117" s="5" t="s">
        <v>79</v>
      </c>
      <c r="D117" s="2" t="s">
        <v>37</v>
      </c>
      <c r="E117" s="6">
        <v>2</v>
      </c>
      <c r="F117" s="6">
        <v>2.95</v>
      </c>
      <c r="G117" s="6">
        <v>20</v>
      </c>
      <c r="H117" s="7">
        <v>59</v>
      </c>
      <c r="I117" s="7">
        <v>68</v>
      </c>
      <c r="J117" s="2" t="s">
        <v>41</v>
      </c>
      <c r="K117" s="35">
        <f t="shared" ref="K117:K121" si="7">VLOOKUP(A117,tabelas,2,FALSE)</f>
        <v>88.99</v>
      </c>
    </row>
    <row r="118" spans="1:11" x14ac:dyDescent="0.3">
      <c r="A118" s="5" t="s">
        <v>82</v>
      </c>
      <c r="B118" s="5" t="s">
        <v>83</v>
      </c>
      <c r="C118" s="5" t="s">
        <v>79</v>
      </c>
      <c r="D118" s="2" t="s">
        <v>37</v>
      </c>
      <c r="E118" s="6">
        <v>2</v>
      </c>
      <c r="F118" s="6">
        <v>2.95</v>
      </c>
      <c r="G118" s="6">
        <v>20</v>
      </c>
      <c r="H118" s="7">
        <v>59</v>
      </c>
      <c r="I118" s="7">
        <v>68</v>
      </c>
      <c r="J118" s="2" t="s">
        <v>41</v>
      </c>
      <c r="K118" s="35">
        <f t="shared" si="7"/>
        <v>88.99</v>
      </c>
    </row>
    <row r="119" spans="1:11" x14ac:dyDescent="0.3">
      <c r="A119" s="5" t="s">
        <v>84</v>
      </c>
      <c r="B119" s="5" t="s">
        <v>85</v>
      </c>
      <c r="C119" s="5" t="s">
        <v>79</v>
      </c>
      <c r="D119" s="2" t="s">
        <v>37</v>
      </c>
      <c r="E119" s="6">
        <v>2</v>
      </c>
      <c r="F119" s="6">
        <v>2.95</v>
      </c>
      <c r="G119" s="6">
        <v>20</v>
      </c>
      <c r="H119" s="7">
        <v>59</v>
      </c>
      <c r="I119" s="7">
        <v>68</v>
      </c>
      <c r="J119" s="2" t="s">
        <v>41</v>
      </c>
      <c r="K119" s="35">
        <f t="shared" si="7"/>
        <v>87.89</v>
      </c>
    </row>
    <row r="120" spans="1:11" x14ac:dyDescent="0.3">
      <c r="A120" s="5" t="s">
        <v>86</v>
      </c>
      <c r="B120" s="5" t="s">
        <v>87</v>
      </c>
      <c r="C120" s="5" t="s">
        <v>79</v>
      </c>
      <c r="D120" s="2" t="s">
        <v>37</v>
      </c>
      <c r="E120" s="6">
        <v>2</v>
      </c>
      <c r="F120" s="6">
        <v>2.95</v>
      </c>
      <c r="G120" s="6">
        <v>20</v>
      </c>
      <c r="H120" s="7">
        <v>59</v>
      </c>
      <c r="I120" s="7">
        <v>68</v>
      </c>
      <c r="J120" s="2" t="s">
        <v>41</v>
      </c>
      <c r="K120" s="35">
        <f t="shared" si="7"/>
        <v>87.89</v>
      </c>
    </row>
    <row r="121" spans="1:11" x14ac:dyDescent="0.3">
      <c r="A121" s="5" t="s">
        <v>188</v>
      </c>
      <c r="B121" s="5" t="s">
        <v>189</v>
      </c>
      <c r="C121" s="5" t="s">
        <v>79</v>
      </c>
      <c r="D121" s="2" t="s">
        <v>37</v>
      </c>
      <c r="E121" s="6">
        <v>2</v>
      </c>
      <c r="F121" s="6">
        <v>2.95</v>
      </c>
      <c r="G121" s="6">
        <v>20</v>
      </c>
      <c r="H121" s="7">
        <v>59</v>
      </c>
      <c r="I121" s="7">
        <v>68</v>
      </c>
      <c r="J121" s="2" t="s">
        <v>41</v>
      </c>
      <c r="K121" s="35">
        <f t="shared" si="7"/>
        <v>91.19</v>
      </c>
    </row>
    <row r="122" spans="1:11" x14ac:dyDescent="0.3">
      <c r="A122" s="54" t="s">
        <v>263</v>
      </c>
      <c r="B122" s="54" t="s">
        <v>264</v>
      </c>
      <c r="C122" s="54" t="s">
        <v>79</v>
      </c>
      <c r="D122" s="55" t="s">
        <v>37</v>
      </c>
      <c r="E122" s="56">
        <v>2</v>
      </c>
      <c r="F122" s="56">
        <v>2.95</v>
      </c>
      <c r="G122" s="56">
        <v>20</v>
      </c>
      <c r="H122" s="57">
        <v>59</v>
      </c>
      <c r="I122" s="57">
        <v>68</v>
      </c>
      <c r="J122" s="55" t="s">
        <v>41</v>
      </c>
      <c r="K122" s="58">
        <v>87.89</v>
      </c>
    </row>
    <row r="123" spans="1:11" x14ac:dyDescent="0.3">
      <c r="A123" s="54" t="s">
        <v>265</v>
      </c>
      <c r="B123" s="54" t="s">
        <v>266</v>
      </c>
      <c r="C123" s="54" t="s">
        <v>79</v>
      </c>
      <c r="D123" s="55" t="s">
        <v>37</v>
      </c>
      <c r="E123" s="56">
        <v>2</v>
      </c>
      <c r="F123" s="56">
        <v>2.95</v>
      </c>
      <c r="G123" s="56">
        <v>20</v>
      </c>
      <c r="H123" s="57">
        <v>59</v>
      </c>
      <c r="I123" s="57">
        <v>68</v>
      </c>
      <c r="J123" s="55" t="s">
        <v>41</v>
      </c>
      <c r="K123" s="58">
        <v>87.89</v>
      </c>
    </row>
    <row r="124" spans="1:11" x14ac:dyDescent="0.3">
      <c r="A124" s="8"/>
      <c r="B124" s="8"/>
      <c r="C124" s="8"/>
      <c r="D124" s="8"/>
      <c r="E124" s="11"/>
      <c r="F124" s="11"/>
      <c r="G124" s="11"/>
      <c r="H124" s="12"/>
      <c r="I124" s="12"/>
      <c r="J124" s="8"/>
      <c r="K124" s="36"/>
    </row>
    <row r="125" spans="1:11" x14ac:dyDescent="0.3">
      <c r="A125" s="100" t="s">
        <v>89</v>
      </c>
      <c r="B125" s="101"/>
      <c r="C125" s="49"/>
      <c r="K125" s="36"/>
    </row>
    <row r="126" spans="1:11" x14ac:dyDescent="0.3">
      <c r="A126" s="102"/>
      <c r="B126" s="103"/>
      <c r="C126" s="99"/>
      <c r="D126" s="99"/>
      <c r="E126" s="99"/>
      <c r="F126" s="99"/>
      <c r="G126" s="99"/>
      <c r="H126" s="99"/>
      <c r="I126" s="99"/>
      <c r="J126" s="99"/>
      <c r="K126" s="99"/>
    </row>
    <row r="127" spans="1:11" x14ac:dyDescent="0.3">
      <c r="A127" s="1" t="s">
        <v>1</v>
      </c>
      <c r="B127" s="1" t="s">
        <v>2</v>
      </c>
      <c r="C127" s="1" t="s">
        <v>3</v>
      </c>
      <c r="D127" s="1" t="s">
        <v>4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J127" s="1" t="s">
        <v>10</v>
      </c>
      <c r="K127" s="37" t="s">
        <v>11</v>
      </c>
    </row>
    <row r="128" spans="1:11" x14ac:dyDescent="0.3">
      <c r="A128" s="2">
        <v>73000</v>
      </c>
      <c r="B128" s="2" t="s">
        <v>90</v>
      </c>
      <c r="C128" s="2" t="s">
        <v>91</v>
      </c>
      <c r="D128" s="2" t="s">
        <v>13</v>
      </c>
      <c r="E128" s="3">
        <v>2</v>
      </c>
      <c r="F128" s="3">
        <v>3.02</v>
      </c>
      <c r="G128" s="3">
        <v>20</v>
      </c>
      <c r="H128" s="4">
        <v>60.4</v>
      </c>
      <c r="I128" s="4">
        <v>70</v>
      </c>
      <c r="J128" s="2" t="s">
        <v>14</v>
      </c>
      <c r="K128" s="35">
        <f t="shared" ref="K128:K138" si="8">VLOOKUP(A128,tabelas,2,FALSE)</f>
        <v>64.790000000000006</v>
      </c>
    </row>
    <row r="129" spans="1:11" x14ac:dyDescent="0.3">
      <c r="A129" s="5">
        <v>73003</v>
      </c>
      <c r="B129" s="5" t="s">
        <v>92</v>
      </c>
      <c r="C129" s="5" t="s">
        <v>91</v>
      </c>
      <c r="D129" s="5" t="s">
        <v>13</v>
      </c>
      <c r="E129" s="6">
        <v>2</v>
      </c>
      <c r="F129" s="6">
        <v>3.02</v>
      </c>
      <c r="G129" s="6">
        <v>20</v>
      </c>
      <c r="H129" s="7">
        <v>60.4</v>
      </c>
      <c r="I129" s="7">
        <v>70</v>
      </c>
      <c r="J129" s="5" t="s">
        <v>14</v>
      </c>
      <c r="K129" s="35">
        <f t="shared" si="8"/>
        <v>65.89</v>
      </c>
    </row>
    <row r="130" spans="1:11" x14ac:dyDescent="0.3">
      <c r="A130" s="5">
        <v>73005</v>
      </c>
      <c r="B130" s="5" t="s">
        <v>93</v>
      </c>
      <c r="C130" s="5" t="s">
        <v>91</v>
      </c>
      <c r="D130" s="5" t="s">
        <v>13</v>
      </c>
      <c r="E130" s="6">
        <v>2</v>
      </c>
      <c r="F130" s="6">
        <v>3.02</v>
      </c>
      <c r="G130" s="6">
        <v>20</v>
      </c>
      <c r="H130" s="7">
        <v>60.4</v>
      </c>
      <c r="I130" s="7">
        <v>70</v>
      </c>
      <c r="J130" s="5" t="s">
        <v>14</v>
      </c>
      <c r="K130" s="35">
        <f t="shared" si="8"/>
        <v>64.790000000000006</v>
      </c>
    </row>
    <row r="131" spans="1:11" x14ac:dyDescent="0.3">
      <c r="A131" s="5">
        <v>73008</v>
      </c>
      <c r="B131" s="5" t="s">
        <v>94</v>
      </c>
      <c r="C131" s="5" t="s">
        <v>91</v>
      </c>
      <c r="D131" s="5" t="s">
        <v>13</v>
      </c>
      <c r="E131" s="6">
        <v>2</v>
      </c>
      <c r="F131" s="6">
        <v>3.02</v>
      </c>
      <c r="G131" s="6">
        <v>20</v>
      </c>
      <c r="H131" s="7">
        <v>60.4</v>
      </c>
      <c r="I131" s="7">
        <v>70</v>
      </c>
      <c r="J131" s="5" t="s">
        <v>14</v>
      </c>
      <c r="K131" s="35">
        <f t="shared" si="8"/>
        <v>64.790000000000006</v>
      </c>
    </row>
    <row r="132" spans="1:11" x14ac:dyDescent="0.3">
      <c r="A132" s="5">
        <v>73009</v>
      </c>
      <c r="B132" s="5" t="s">
        <v>95</v>
      </c>
      <c r="C132" s="5" t="s">
        <v>91</v>
      </c>
      <c r="D132" s="5" t="s">
        <v>13</v>
      </c>
      <c r="E132" s="6">
        <v>2</v>
      </c>
      <c r="F132" s="6">
        <v>3.02</v>
      </c>
      <c r="G132" s="6">
        <v>20</v>
      </c>
      <c r="H132" s="7">
        <v>60.4</v>
      </c>
      <c r="I132" s="7">
        <v>70</v>
      </c>
      <c r="J132" s="5" t="s">
        <v>14</v>
      </c>
      <c r="K132" s="35">
        <f t="shared" si="8"/>
        <v>65.89</v>
      </c>
    </row>
    <row r="133" spans="1:11" x14ac:dyDescent="0.3">
      <c r="A133" s="5">
        <v>73010</v>
      </c>
      <c r="B133" s="5" t="s">
        <v>131</v>
      </c>
      <c r="C133" s="5" t="s">
        <v>91</v>
      </c>
      <c r="D133" s="5" t="s">
        <v>13</v>
      </c>
      <c r="E133" s="6">
        <v>2</v>
      </c>
      <c r="F133" s="6">
        <v>3.02</v>
      </c>
      <c r="G133" s="6">
        <v>20</v>
      </c>
      <c r="H133" s="7">
        <v>60.4</v>
      </c>
      <c r="I133" s="7">
        <v>70</v>
      </c>
      <c r="J133" s="5" t="s">
        <v>14</v>
      </c>
      <c r="K133" s="35">
        <f t="shared" si="8"/>
        <v>65.89</v>
      </c>
    </row>
    <row r="134" spans="1:11" x14ac:dyDescent="0.3">
      <c r="A134" s="5">
        <v>73011</v>
      </c>
      <c r="B134" s="5" t="s">
        <v>181</v>
      </c>
      <c r="C134" s="5" t="s">
        <v>91</v>
      </c>
      <c r="D134" s="5" t="s">
        <v>13</v>
      </c>
      <c r="E134" s="6">
        <v>2</v>
      </c>
      <c r="F134" s="6">
        <v>3.02</v>
      </c>
      <c r="G134" s="6">
        <v>20</v>
      </c>
      <c r="H134" s="7">
        <v>60.4</v>
      </c>
      <c r="I134" s="7">
        <v>70</v>
      </c>
      <c r="J134" s="5" t="s">
        <v>14</v>
      </c>
      <c r="K134" s="35">
        <f t="shared" si="8"/>
        <v>64.790000000000006</v>
      </c>
    </row>
    <row r="135" spans="1:11" x14ac:dyDescent="0.3">
      <c r="A135" s="5">
        <v>73012</v>
      </c>
      <c r="B135" s="5" t="s">
        <v>190</v>
      </c>
      <c r="C135" s="5" t="s">
        <v>91</v>
      </c>
      <c r="D135" s="5" t="s">
        <v>13</v>
      </c>
      <c r="E135" s="6">
        <v>2</v>
      </c>
      <c r="F135" s="6">
        <v>3.02</v>
      </c>
      <c r="G135" s="6">
        <v>20</v>
      </c>
      <c r="H135" s="7">
        <v>60.4</v>
      </c>
      <c r="I135" s="7">
        <v>70</v>
      </c>
      <c r="J135" s="5" t="s">
        <v>14</v>
      </c>
      <c r="K135" s="35">
        <f t="shared" si="8"/>
        <v>66.989999999999995</v>
      </c>
    </row>
    <row r="136" spans="1:11" x14ac:dyDescent="0.3">
      <c r="A136" s="2">
        <v>73013</v>
      </c>
      <c r="B136" s="2" t="s">
        <v>221</v>
      </c>
      <c r="C136" s="2" t="s">
        <v>91</v>
      </c>
      <c r="D136" s="2" t="s">
        <v>13</v>
      </c>
      <c r="E136" s="3">
        <v>2</v>
      </c>
      <c r="F136" s="3">
        <v>3.02</v>
      </c>
      <c r="G136" s="3">
        <v>20</v>
      </c>
      <c r="H136" s="4">
        <v>60.4</v>
      </c>
      <c r="I136" s="4">
        <v>70</v>
      </c>
      <c r="J136" s="2" t="s">
        <v>14</v>
      </c>
      <c r="K136" s="35">
        <v>66.989999999999995</v>
      </c>
    </row>
    <row r="137" spans="1:11" x14ac:dyDescent="0.3">
      <c r="A137" s="2">
        <v>73014</v>
      </c>
      <c r="B137" s="2" t="s">
        <v>222</v>
      </c>
      <c r="C137" s="2" t="s">
        <v>91</v>
      </c>
      <c r="D137" s="2" t="s">
        <v>223</v>
      </c>
      <c r="E137" s="3">
        <v>2</v>
      </c>
      <c r="F137" s="3">
        <v>3.02</v>
      </c>
      <c r="G137" s="3">
        <v>20</v>
      </c>
      <c r="H137" s="4">
        <v>60.4</v>
      </c>
      <c r="I137" s="52">
        <v>70</v>
      </c>
      <c r="J137" s="16" t="s">
        <v>182</v>
      </c>
      <c r="K137" s="35">
        <f t="shared" si="8"/>
        <v>66.989999999999995</v>
      </c>
    </row>
    <row r="138" spans="1:11" x14ac:dyDescent="0.3">
      <c r="A138" s="2">
        <v>73015</v>
      </c>
      <c r="B138" s="2" t="s">
        <v>224</v>
      </c>
      <c r="C138" s="2" t="s">
        <v>91</v>
      </c>
      <c r="D138" s="2" t="s">
        <v>225</v>
      </c>
      <c r="E138" s="3">
        <v>2</v>
      </c>
      <c r="F138" s="3">
        <v>3.02</v>
      </c>
      <c r="G138" s="3">
        <v>20</v>
      </c>
      <c r="H138" s="4">
        <v>60.4</v>
      </c>
      <c r="I138" s="52">
        <v>70</v>
      </c>
      <c r="J138" s="2" t="s">
        <v>41</v>
      </c>
      <c r="K138" s="35">
        <f t="shared" si="8"/>
        <v>73.59</v>
      </c>
    </row>
    <row r="139" spans="1:11" x14ac:dyDescent="0.3">
      <c r="A139" s="2">
        <v>73016</v>
      </c>
      <c r="B139" s="2" t="s">
        <v>260</v>
      </c>
      <c r="C139" s="2" t="s">
        <v>91</v>
      </c>
      <c r="D139" s="2" t="s">
        <v>13</v>
      </c>
      <c r="E139" s="3">
        <v>2</v>
      </c>
      <c r="F139" s="3">
        <v>3.02</v>
      </c>
      <c r="G139" s="3">
        <v>20</v>
      </c>
      <c r="H139" s="4">
        <v>60.4</v>
      </c>
      <c r="I139" s="52">
        <v>70</v>
      </c>
      <c r="J139" s="2" t="s">
        <v>14</v>
      </c>
      <c r="K139" s="35">
        <v>65.89</v>
      </c>
    </row>
    <row r="140" spans="1:11" x14ac:dyDescent="0.3">
      <c r="A140" s="2">
        <v>73017</v>
      </c>
      <c r="B140" s="2" t="s">
        <v>261</v>
      </c>
      <c r="C140" s="2" t="s">
        <v>91</v>
      </c>
      <c r="D140" s="2" t="s">
        <v>223</v>
      </c>
      <c r="E140" s="3">
        <v>2</v>
      </c>
      <c r="F140" s="3">
        <v>3.02</v>
      </c>
      <c r="G140" s="3">
        <v>20</v>
      </c>
      <c r="H140" s="4">
        <v>60.4</v>
      </c>
      <c r="I140" s="52">
        <v>70</v>
      </c>
      <c r="J140" s="2" t="s">
        <v>219</v>
      </c>
      <c r="K140" s="35">
        <v>66.989999999999995</v>
      </c>
    </row>
    <row r="141" spans="1:11" x14ac:dyDescent="0.3">
      <c r="A141" s="2">
        <v>73018</v>
      </c>
      <c r="B141" s="2" t="s">
        <v>262</v>
      </c>
      <c r="C141" s="2" t="s">
        <v>91</v>
      </c>
      <c r="D141" s="2" t="s">
        <v>13</v>
      </c>
      <c r="E141" s="3">
        <v>2</v>
      </c>
      <c r="F141" s="3">
        <v>3.02</v>
      </c>
      <c r="G141" s="3">
        <v>20</v>
      </c>
      <c r="H141" s="4">
        <v>60.4</v>
      </c>
      <c r="I141" s="52">
        <v>70</v>
      </c>
      <c r="J141" s="2" t="s">
        <v>14</v>
      </c>
      <c r="K141" s="35">
        <v>65.89</v>
      </c>
    </row>
    <row r="142" spans="1:11" x14ac:dyDescent="0.3">
      <c r="A142" s="55">
        <v>73019</v>
      </c>
      <c r="B142" s="55" t="s">
        <v>267</v>
      </c>
      <c r="C142" s="55" t="s">
        <v>91</v>
      </c>
      <c r="D142" s="55" t="s">
        <v>13</v>
      </c>
      <c r="E142" s="59">
        <v>2</v>
      </c>
      <c r="F142" s="59">
        <v>3.02</v>
      </c>
      <c r="G142" s="59">
        <v>20</v>
      </c>
      <c r="H142" s="60">
        <v>60.4</v>
      </c>
      <c r="I142" s="61">
        <v>70</v>
      </c>
      <c r="J142" s="55" t="s">
        <v>14</v>
      </c>
      <c r="K142" s="58">
        <v>65.89</v>
      </c>
    </row>
    <row r="143" spans="1:11" x14ac:dyDescent="0.3">
      <c r="A143" s="55">
        <v>73020</v>
      </c>
      <c r="B143" s="55" t="s">
        <v>268</v>
      </c>
      <c r="C143" s="55" t="s">
        <v>91</v>
      </c>
      <c r="D143" s="55" t="s">
        <v>13</v>
      </c>
      <c r="E143" s="59">
        <v>2</v>
      </c>
      <c r="F143" s="59">
        <v>3.02</v>
      </c>
      <c r="G143" s="59">
        <v>20</v>
      </c>
      <c r="H143" s="60">
        <v>60.4</v>
      </c>
      <c r="I143" s="61">
        <v>70</v>
      </c>
      <c r="J143" s="55" t="s">
        <v>14</v>
      </c>
      <c r="K143" s="58">
        <v>65.89</v>
      </c>
    </row>
    <row r="145" spans="1:11" x14ac:dyDescent="0.3">
      <c r="A145" s="100" t="s">
        <v>170</v>
      </c>
      <c r="B145" s="101"/>
      <c r="C145" s="49"/>
    </row>
    <row r="146" spans="1:11" x14ac:dyDescent="0.3">
      <c r="A146" s="102"/>
      <c r="B146" s="103"/>
      <c r="C146" s="99"/>
      <c r="D146" s="99"/>
      <c r="E146" s="99"/>
      <c r="F146" s="99"/>
      <c r="G146" s="99"/>
      <c r="H146" s="99"/>
      <c r="I146" s="99"/>
      <c r="J146" s="99"/>
      <c r="K146" s="99"/>
    </row>
    <row r="147" spans="1:11" x14ac:dyDescent="0.3">
      <c r="A147" s="1" t="s">
        <v>1</v>
      </c>
      <c r="B147" s="1" t="s">
        <v>2</v>
      </c>
      <c r="C147" s="1" t="s">
        <v>3</v>
      </c>
      <c r="D147" s="1" t="s">
        <v>4</v>
      </c>
      <c r="E147" s="1" t="s">
        <v>5</v>
      </c>
      <c r="F147" s="1" t="s">
        <v>6</v>
      </c>
      <c r="G147" s="1" t="s">
        <v>7</v>
      </c>
      <c r="H147" s="1" t="s">
        <v>8</v>
      </c>
      <c r="I147" s="1" t="s">
        <v>9</v>
      </c>
      <c r="J147" s="1" t="s">
        <v>10</v>
      </c>
      <c r="K147" s="39" t="s">
        <v>11</v>
      </c>
    </row>
    <row r="148" spans="1:11" x14ac:dyDescent="0.3">
      <c r="A148" s="5">
        <v>71400</v>
      </c>
      <c r="B148" s="5" t="s">
        <v>113</v>
      </c>
      <c r="C148" s="5" t="s">
        <v>170</v>
      </c>
      <c r="D148" s="5" t="s">
        <v>13</v>
      </c>
      <c r="E148" s="13">
        <v>5</v>
      </c>
      <c r="F148" s="13">
        <v>2.52</v>
      </c>
      <c r="G148" s="13">
        <v>32</v>
      </c>
      <c r="H148" s="13">
        <v>80.64</v>
      </c>
      <c r="I148" s="25">
        <v>40</v>
      </c>
      <c r="J148" s="5" t="s">
        <v>14</v>
      </c>
      <c r="K148" s="35">
        <f t="shared" ref="K148:K153" si="9">VLOOKUP(A148,tabelas,2,FALSE)</f>
        <v>36.19</v>
      </c>
    </row>
    <row r="149" spans="1:11" x14ac:dyDescent="0.3">
      <c r="A149" s="5">
        <v>71401</v>
      </c>
      <c r="B149" s="5" t="s">
        <v>114</v>
      </c>
      <c r="C149" s="5" t="s">
        <v>170</v>
      </c>
      <c r="D149" s="5" t="s">
        <v>16</v>
      </c>
      <c r="E149" s="13">
        <v>5</v>
      </c>
      <c r="F149" s="13">
        <v>2.52</v>
      </c>
      <c r="G149" s="13">
        <v>32</v>
      </c>
      <c r="H149" s="13">
        <v>80.64</v>
      </c>
      <c r="I149" s="25">
        <v>40</v>
      </c>
      <c r="J149" s="5" t="s">
        <v>17</v>
      </c>
      <c r="K149" s="35">
        <f t="shared" si="9"/>
        <v>38.39</v>
      </c>
    </row>
    <row r="150" spans="1:11" x14ac:dyDescent="0.3">
      <c r="A150" s="5">
        <v>71402</v>
      </c>
      <c r="B150" s="5" t="s">
        <v>118</v>
      </c>
      <c r="C150" s="5" t="s">
        <v>170</v>
      </c>
      <c r="D150" s="5" t="s">
        <v>13</v>
      </c>
      <c r="E150" s="13">
        <v>5</v>
      </c>
      <c r="F150" s="13">
        <v>2.52</v>
      </c>
      <c r="G150" s="13">
        <v>32</v>
      </c>
      <c r="H150" s="13">
        <v>80.64</v>
      </c>
      <c r="I150" s="25">
        <v>40</v>
      </c>
      <c r="J150" s="5" t="s">
        <v>14</v>
      </c>
      <c r="K150" s="35">
        <f t="shared" si="9"/>
        <v>35.090000000000003</v>
      </c>
    </row>
    <row r="151" spans="1:11" x14ac:dyDescent="0.3">
      <c r="A151" s="5">
        <v>71404</v>
      </c>
      <c r="B151" s="5" t="s">
        <v>115</v>
      </c>
      <c r="C151" s="5" t="s">
        <v>170</v>
      </c>
      <c r="D151" s="5" t="s">
        <v>16</v>
      </c>
      <c r="E151" s="13">
        <v>5</v>
      </c>
      <c r="F151" s="13">
        <v>2.52</v>
      </c>
      <c r="G151" s="13">
        <v>32</v>
      </c>
      <c r="H151" s="13">
        <v>80.64</v>
      </c>
      <c r="I151" s="25">
        <v>40</v>
      </c>
      <c r="J151" s="5" t="s">
        <v>17</v>
      </c>
      <c r="K151" s="35">
        <f t="shared" si="9"/>
        <v>38.39</v>
      </c>
    </row>
    <row r="152" spans="1:11" x14ac:dyDescent="0.3">
      <c r="A152" s="5">
        <v>71405</v>
      </c>
      <c r="B152" s="5" t="s">
        <v>119</v>
      </c>
      <c r="C152" s="5" t="s">
        <v>170</v>
      </c>
      <c r="D152" s="5" t="s">
        <v>13</v>
      </c>
      <c r="E152" s="13">
        <v>5</v>
      </c>
      <c r="F152" s="13">
        <v>2.52</v>
      </c>
      <c r="G152" s="13">
        <v>32</v>
      </c>
      <c r="H152" s="13">
        <v>80.64</v>
      </c>
      <c r="I152" s="25">
        <v>40</v>
      </c>
      <c r="J152" s="5" t="s">
        <v>14</v>
      </c>
      <c r="K152" s="35">
        <f t="shared" si="9"/>
        <v>36.19</v>
      </c>
    </row>
    <row r="153" spans="1:11" x14ac:dyDescent="0.3">
      <c r="A153" s="5">
        <v>71407</v>
      </c>
      <c r="B153" s="5" t="s">
        <v>226</v>
      </c>
      <c r="C153" s="5" t="s">
        <v>170</v>
      </c>
      <c r="D153" s="5" t="s">
        <v>13</v>
      </c>
      <c r="E153" s="5">
        <v>5</v>
      </c>
      <c r="F153" s="5">
        <v>2.52</v>
      </c>
      <c r="G153" s="5">
        <v>32</v>
      </c>
      <c r="H153" s="5">
        <v>80.64</v>
      </c>
      <c r="I153" s="22">
        <v>40</v>
      </c>
      <c r="J153" s="5" t="s">
        <v>14</v>
      </c>
      <c r="K153" s="35">
        <f t="shared" si="9"/>
        <v>36.19</v>
      </c>
    </row>
    <row r="154" spans="1:11" x14ac:dyDescent="0.3">
      <c r="A154" s="5">
        <v>71408</v>
      </c>
      <c r="B154" s="5" t="s">
        <v>249</v>
      </c>
      <c r="C154" s="5" t="s">
        <v>170</v>
      </c>
      <c r="D154" s="5" t="s">
        <v>13</v>
      </c>
      <c r="E154" s="5">
        <v>5</v>
      </c>
      <c r="F154" s="5">
        <v>2.52</v>
      </c>
      <c r="G154" s="5">
        <v>32</v>
      </c>
      <c r="H154" s="5">
        <v>80.64</v>
      </c>
      <c r="I154" s="22">
        <v>40</v>
      </c>
      <c r="J154" s="5" t="s">
        <v>14</v>
      </c>
      <c r="K154" s="35">
        <f t="shared" ref="K154:K159" si="10">VLOOKUP(A154,tabelas,2,FALSE)</f>
        <v>35.090000000000003</v>
      </c>
    </row>
    <row r="155" spans="1:11" x14ac:dyDescent="0.3">
      <c r="A155" s="5">
        <v>71409</v>
      </c>
      <c r="B155" s="5" t="s">
        <v>250</v>
      </c>
      <c r="C155" s="5" t="s">
        <v>170</v>
      </c>
      <c r="D155" s="5" t="s">
        <v>255</v>
      </c>
      <c r="E155" s="5">
        <v>5</v>
      </c>
      <c r="F155" s="5">
        <v>2.52</v>
      </c>
      <c r="G155" s="5">
        <v>32</v>
      </c>
      <c r="H155" s="5">
        <v>80.64</v>
      </c>
      <c r="I155" s="22">
        <v>40</v>
      </c>
      <c r="J155" s="2" t="s">
        <v>219</v>
      </c>
      <c r="K155" s="35">
        <f t="shared" si="10"/>
        <v>37.29</v>
      </c>
    </row>
    <row r="156" spans="1:11" x14ac:dyDescent="0.3">
      <c r="A156" s="5">
        <v>71410</v>
      </c>
      <c r="B156" s="5" t="s">
        <v>251</v>
      </c>
      <c r="C156" s="5" t="s">
        <v>170</v>
      </c>
      <c r="D156" s="5" t="s">
        <v>13</v>
      </c>
      <c r="E156" s="5">
        <v>5</v>
      </c>
      <c r="F156" s="5">
        <v>2.52</v>
      </c>
      <c r="G156" s="5">
        <v>32</v>
      </c>
      <c r="H156" s="5">
        <v>80.64</v>
      </c>
      <c r="I156" s="22">
        <v>40</v>
      </c>
      <c r="J156" s="5" t="s">
        <v>14</v>
      </c>
      <c r="K156" s="35">
        <f t="shared" si="10"/>
        <v>35.090000000000003</v>
      </c>
    </row>
    <row r="157" spans="1:11" x14ac:dyDescent="0.3">
      <c r="A157" s="5">
        <v>71411</v>
      </c>
      <c r="B157" s="5" t="s">
        <v>252</v>
      </c>
      <c r="C157" s="5" t="s">
        <v>170</v>
      </c>
      <c r="D157" s="5" t="s">
        <v>255</v>
      </c>
      <c r="E157" s="5">
        <v>5</v>
      </c>
      <c r="F157" s="5">
        <v>2.52</v>
      </c>
      <c r="G157" s="5">
        <v>32</v>
      </c>
      <c r="H157" s="5">
        <v>80.64</v>
      </c>
      <c r="I157" s="22">
        <v>40</v>
      </c>
      <c r="J157" s="5" t="s">
        <v>255</v>
      </c>
      <c r="K157" s="35">
        <f t="shared" si="10"/>
        <v>37.29</v>
      </c>
    </row>
    <row r="158" spans="1:11" x14ac:dyDescent="0.3">
      <c r="A158" s="5">
        <v>71412</v>
      </c>
      <c r="B158" s="5" t="s">
        <v>253</v>
      </c>
      <c r="C158" s="5" t="s">
        <v>170</v>
      </c>
      <c r="D158" s="5" t="s">
        <v>13</v>
      </c>
      <c r="E158" s="5">
        <v>5</v>
      </c>
      <c r="F158" s="5">
        <v>2.52</v>
      </c>
      <c r="G158" s="5">
        <v>32</v>
      </c>
      <c r="H158" s="5">
        <v>80.64</v>
      </c>
      <c r="I158" s="22">
        <v>40</v>
      </c>
      <c r="J158" s="5" t="s">
        <v>14</v>
      </c>
      <c r="K158" s="35">
        <f t="shared" si="10"/>
        <v>35.090000000000003</v>
      </c>
    </row>
    <row r="159" spans="1:11" x14ac:dyDescent="0.3">
      <c r="A159" s="5">
        <v>71413</v>
      </c>
      <c r="B159" s="5" t="s">
        <v>254</v>
      </c>
      <c r="C159" s="5" t="s">
        <v>170</v>
      </c>
      <c r="D159" s="5" t="s">
        <v>255</v>
      </c>
      <c r="E159" s="5">
        <v>5</v>
      </c>
      <c r="F159" s="5">
        <v>2.52</v>
      </c>
      <c r="G159" s="5">
        <v>32</v>
      </c>
      <c r="H159" s="5">
        <v>80.64</v>
      </c>
      <c r="I159" s="22">
        <v>40</v>
      </c>
      <c r="J159" s="5" t="s">
        <v>255</v>
      </c>
      <c r="K159" s="35">
        <f t="shared" si="10"/>
        <v>37.29</v>
      </c>
    </row>
    <row r="162" spans="1:11" ht="15" customHeight="1" x14ac:dyDescent="0.3">
      <c r="A162" s="100" t="s">
        <v>171</v>
      </c>
      <c r="B162" s="101"/>
      <c r="C162" s="49"/>
    </row>
    <row r="163" spans="1:11" ht="15" customHeight="1" x14ac:dyDescent="0.3">
      <c r="A163" s="102"/>
      <c r="B163" s="103"/>
      <c r="C163" s="99"/>
      <c r="D163" s="99"/>
      <c r="E163" s="99"/>
      <c r="F163" s="99"/>
      <c r="G163" s="99"/>
      <c r="H163" s="99"/>
      <c r="I163" s="99"/>
      <c r="J163" s="99"/>
      <c r="K163" s="99"/>
    </row>
    <row r="164" spans="1:11" x14ac:dyDescent="0.3">
      <c r="A164" s="1" t="s">
        <v>1</v>
      </c>
      <c r="B164" s="1" t="s">
        <v>2</v>
      </c>
      <c r="C164" s="1" t="s">
        <v>3</v>
      </c>
      <c r="D164" s="1" t="s">
        <v>4</v>
      </c>
      <c r="E164" s="1" t="s">
        <v>5</v>
      </c>
      <c r="F164" s="1" t="s">
        <v>6</v>
      </c>
      <c r="G164" s="1" t="s">
        <v>7</v>
      </c>
      <c r="H164" s="1" t="s">
        <v>8</v>
      </c>
      <c r="I164" s="1" t="s">
        <v>9</v>
      </c>
      <c r="J164" s="1" t="s">
        <v>10</v>
      </c>
      <c r="K164" s="39" t="s">
        <v>11</v>
      </c>
    </row>
    <row r="165" spans="1:11" x14ac:dyDescent="0.3">
      <c r="A165" s="5" t="s">
        <v>172</v>
      </c>
      <c r="B165" s="5" t="s">
        <v>120</v>
      </c>
      <c r="C165" s="5" t="s">
        <v>170</v>
      </c>
      <c r="D165" s="5" t="s">
        <v>37</v>
      </c>
      <c r="E165" s="13">
        <v>5</v>
      </c>
      <c r="F165" s="13">
        <v>2.52</v>
      </c>
      <c r="G165" s="13">
        <v>32</v>
      </c>
      <c r="H165" s="13">
        <v>80.64</v>
      </c>
      <c r="I165" s="25">
        <v>40</v>
      </c>
      <c r="J165" s="5" t="s">
        <v>38</v>
      </c>
      <c r="K165" s="35">
        <f>VLOOKUP(A165,tabelas,2,FALSE)</f>
        <v>46.09</v>
      </c>
    </row>
    <row r="166" spans="1:11" x14ac:dyDescent="0.3">
      <c r="A166" s="5" t="s">
        <v>173</v>
      </c>
      <c r="B166" s="5" t="s">
        <v>116</v>
      </c>
      <c r="C166" s="5" t="s">
        <v>170</v>
      </c>
      <c r="D166" s="5" t="s">
        <v>37</v>
      </c>
      <c r="E166" s="13">
        <v>5</v>
      </c>
      <c r="F166" s="13">
        <v>2.52</v>
      </c>
      <c r="G166" s="13">
        <v>32</v>
      </c>
      <c r="H166" s="13">
        <v>80.64</v>
      </c>
      <c r="I166" s="25">
        <v>40</v>
      </c>
      <c r="J166" s="5" t="s">
        <v>38</v>
      </c>
      <c r="K166" s="35">
        <f>VLOOKUP(A166,tabelas,2,FALSE)</f>
        <v>47.19</v>
      </c>
    </row>
    <row r="167" spans="1:11" x14ac:dyDescent="0.3">
      <c r="A167" s="5" t="s">
        <v>174</v>
      </c>
      <c r="B167" s="5" t="s">
        <v>117</v>
      </c>
      <c r="C167" s="5" t="s">
        <v>170</v>
      </c>
      <c r="D167" s="5" t="s">
        <v>37</v>
      </c>
      <c r="E167" s="13">
        <v>5</v>
      </c>
      <c r="F167" s="13">
        <v>2.52</v>
      </c>
      <c r="G167" s="13">
        <v>32</v>
      </c>
      <c r="H167" s="13">
        <v>80.64</v>
      </c>
      <c r="I167" s="25">
        <v>40</v>
      </c>
      <c r="J167" s="5" t="s">
        <v>38</v>
      </c>
      <c r="K167" s="35">
        <f>VLOOKUP(A167,tabelas,2,FALSE)</f>
        <v>48.29</v>
      </c>
    </row>
    <row r="168" spans="1:11" x14ac:dyDescent="0.3">
      <c r="A168" s="5" t="s">
        <v>227</v>
      </c>
      <c r="B168" s="5" t="s">
        <v>228</v>
      </c>
      <c r="C168" s="5" t="s">
        <v>170</v>
      </c>
      <c r="D168" s="5" t="s">
        <v>37</v>
      </c>
      <c r="E168" s="5">
        <v>5</v>
      </c>
      <c r="F168" s="5">
        <v>2.52</v>
      </c>
      <c r="G168" s="5">
        <v>32</v>
      </c>
      <c r="H168" s="5">
        <v>80.64</v>
      </c>
      <c r="I168" s="22">
        <v>40</v>
      </c>
      <c r="J168" s="5" t="s">
        <v>38</v>
      </c>
      <c r="K168" s="35">
        <f>VLOOKUP(A168,tabelas,2,FALSE)</f>
        <v>48.29</v>
      </c>
    </row>
    <row r="169" spans="1:11" x14ac:dyDescent="0.3">
      <c r="A169" s="8"/>
      <c r="B169" s="8"/>
      <c r="C169" s="8"/>
      <c r="D169" s="8"/>
      <c r="E169" s="8"/>
      <c r="F169" s="8"/>
      <c r="G169" s="8"/>
      <c r="H169" s="41"/>
      <c r="I169" s="41"/>
      <c r="J169" s="8"/>
      <c r="K169" s="42"/>
    </row>
    <row r="171" spans="1:11" x14ac:dyDescent="0.3">
      <c r="A171" s="104" t="str">
        <f>A2</f>
        <v>Tab.Geral NP - Atualizada em 15/01/2025</v>
      </c>
      <c r="B171" s="104"/>
    </row>
    <row r="172" spans="1:11" x14ac:dyDescent="0.3">
      <c r="A172" s="100" t="s">
        <v>132</v>
      </c>
      <c r="B172" s="101"/>
      <c r="C172" s="49"/>
    </row>
    <row r="173" spans="1:11" x14ac:dyDescent="0.3">
      <c r="A173" s="102"/>
      <c r="B173" s="103"/>
      <c r="C173" s="99"/>
      <c r="D173" s="99"/>
      <c r="E173" s="99"/>
      <c r="F173" s="99"/>
      <c r="G173" s="99"/>
      <c r="H173" s="99"/>
      <c r="I173" s="99"/>
      <c r="J173" s="99"/>
      <c r="K173" s="99"/>
    </row>
    <row r="174" spans="1:11" x14ac:dyDescent="0.3">
      <c r="A174" s="1" t="s">
        <v>1</v>
      </c>
      <c r="B174" s="1" t="s">
        <v>2</v>
      </c>
      <c r="C174" s="1" t="s">
        <v>3</v>
      </c>
      <c r="D174" s="1" t="s">
        <v>4</v>
      </c>
      <c r="E174" s="1" t="s">
        <v>5</v>
      </c>
      <c r="F174" s="1" t="s">
        <v>6</v>
      </c>
      <c r="G174" s="1" t="s">
        <v>7</v>
      </c>
      <c r="H174" s="1" t="s">
        <v>8</v>
      </c>
      <c r="I174" s="1" t="s">
        <v>9</v>
      </c>
      <c r="J174" s="1" t="s">
        <v>10</v>
      </c>
      <c r="K174" s="39" t="s">
        <v>11</v>
      </c>
    </row>
    <row r="175" spans="1:11" x14ac:dyDescent="0.3">
      <c r="A175" s="16">
        <v>94701</v>
      </c>
      <c r="B175" s="16" t="s">
        <v>133</v>
      </c>
      <c r="C175" s="16" t="s">
        <v>132</v>
      </c>
      <c r="D175" s="16" t="s">
        <v>13</v>
      </c>
      <c r="E175" s="16">
        <v>3</v>
      </c>
      <c r="F175" s="16">
        <v>2.65</v>
      </c>
      <c r="G175" s="16">
        <v>24</v>
      </c>
      <c r="H175" s="43">
        <v>63.6</v>
      </c>
      <c r="I175" s="43">
        <v>46</v>
      </c>
      <c r="J175" s="16" t="s">
        <v>14</v>
      </c>
      <c r="K175" s="35">
        <f t="shared" ref="K175:K190" si="11">VLOOKUP(A175,tabelas,2,FALSE)</f>
        <v>44.99</v>
      </c>
    </row>
    <row r="176" spans="1:11" x14ac:dyDescent="0.3">
      <c r="A176" s="16">
        <v>94702</v>
      </c>
      <c r="B176" s="16" t="s">
        <v>134</v>
      </c>
      <c r="C176" s="16" t="s">
        <v>132</v>
      </c>
      <c r="D176" s="16" t="s">
        <v>13</v>
      </c>
      <c r="E176" s="16">
        <v>3</v>
      </c>
      <c r="F176" s="16">
        <v>2.65</v>
      </c>
      <c r="G176" s="16">
        <v>24</v>
      </c>
      <c r="H176" s="43">
        <v>63.6</v>
      </c>
      <c r="I176" s="43">
        <v>46</v>
      </c>
      <c r="J176" s="16" t="s">
        <v>14</v>
      </c>
      <c r="K176" s="35">
        <f t="shared" si="11"/>
        <v>46.09</v>
      </c>
    </row>
    <row r="177" spans="1:11" x14ac:dyDescent="0.3">
      <c r="A177" s="16">
        <v>94703</v>
      </c>
      <c r="B177" s="16" t="s">
        <v>135</v>
      </c>
      <c r="C177" s="16" t="s">
        <v>132</v>
      </c>
      <c r="D177" s="16" t="s">
        <v>13</v>
      </c>
      <c r="E177" s="16">
        <v>3</v>
      </c>
      <c r="F177" s="16">
        <v>2.65</v>
      </c>
      <c r="G177" s="16">
        <v>24</v>
      </c>
      <c r="H177" s="43">
        <v>63.6</v>
      </c>
      <c r="I177" s="43">
        <v>46</v>
      </c>
      <c r="J177" s="16" t="s">
        <v>14</v>
      </c>
      <c r="K177" s="35">
        <f t="shared" si="11"/>
        <v>48.29</v>
      </c>
    </row>
    <row r="178" spans="1:11" x14ac:dyDescent="0.3">
      <c r="A178" s="16">
        <v>94704</v>
      </c>
      <c r="B178" s="16" t="s">
        <v>136</v>
      </c>
      <c r="C178" s="16" t="s">
        <v>132</v>
      </c>
      <c r="D178" s="16" t="s">
        <v>16</v>
      </c>
      <c r="E178" s="16">
        <v>3</v>
      </c>
      <c r="F178" s="16">
        <v>2.65</v>
      </c>
      <c r="G178" s="16">
        <v>24</v>
      </c>
      <c r="H178" s="43">
        <v>63.6</v>
      </c>
      <c r="I178" s="43">
        <v>46</v>
      </c>
      <c r="J178" s="16" t="s">
        <v>17</v>
      </c>
      <c r="K178" s="35">
        <f t="shared" si="11"/>
        <v>49.39</v>
      </c>
    </row>
    <row r="179" spans="1:11" x14ac:dyDescent="0.3">
      <c r="A179" s="16">
        <v>94705</v>
      </c>
      <c r="B179" s="16" t="s">
        <v>176</v>
      </c>
      <c r="C179" s="16" t="s">
        <v>132</v>
      </c>
      <c r="D179" s="16" t="s">
        <v>13</v>
      </c>
      <c r="E179" s="16">
        <v>3</v>
      </c>
      <c r="F179" s="16">
        <v>2.65</v>
      </c>
      <c r="G179" s="16">
        <v>24</v>
      </c>
      <c r="H179" s="43">
        <v>63.6</v>
      </c>
      <c r="I179" s="43">
        <v>46</v>
      </c>
      <c r="J179" s="16" t="s">
        <v>14</v>
      </c>
      <c r="K179" s="35">
        <f t="shared" si="11"/>
        <v>46.09</v>
      </c>
    </row>
    <row r="180" spans="1:11" x14ac:dyDescent="0.3">
      <c r="A180" s="16">
        <v>94708</v>
      </c>
      <c r="B180" s="16" t="s">
        <v>175</v>
      </c>
      <c r="C180" s="16" t="s">
        <v>132</v>
      </c>
      <c r="D180" s="16" t="s">
        <v>13</v>
      </c>
      <c r="E180" s="16">
        <v>3</v>
      </c>
      <c r="F180" s="16">
        <v>2.65</v>
      </c>
      <c r="G180" s="16">
        <v>24</v>
      </c>
      <c r="H180" s="43">
        <v>63.6</v>
      </c>
      <c r="I180" s="43">
        <v>46</v>
      </c>
      <c r="J180" s="16" t="s">
        <v>14</v>
      </c>
      <c r="K180" s="35">
        <f t="shared" si="11"/>
        <v>46.09</v>
      </c>
    </row>
    <row r="181" spans="1:11" x14ac:dyDescent="0.3">
      <c r="A181" s="16">
        <v>94710</v>
      </c>
      <c r="B181" s="16" t="s">
        <v>137</v>
      </c>
      <c r="C181" s="16" t="s">
        <v>132</v>
      </c>
      <c r="D181" s="16" t="s">
        <v>13</v>
      </c>
      <c r="E181" s="16">
        <v>3</v>
      </c>
      <c r="F181" s="16">
        <v>2.65</v>
      </c>
      <c r="G181" s="16">
        <v>24</v>
      </c>
      <c r="H181" s="43">
        <v>63.6</v>
      </c>
      <c r="I181" s="43">
        <v>46</v>
      </c>
      <c r="J181" s="16" t="s">
        <v>14</v>
      </c>
      <c r="K181" s="35">
        <f t="shared" si="11"/>
        <v>49.39</v>
      </c>
    </row>
    <row r="182" spans="1:11" x14ac:dyDescent="0.3">
      <c r="A182" s="16">
        <v>94712</v>
      </c>
      <c r="B182" s="16" t="s">
        <v>138</v>
      </c>
      <c r="C182" s="16" t="s">
        <v>132</v>
      </c>
      <c r="D182" s="16" t="s">
        <v>13</v>
      </c>
      <c r="E182" s="16">
        <v>3</v>
      </c>
      <c r="F182" s="16">
        <v>2.65</v>
      </c>
      <c r="G182" s="16">
        <v>24</v>
      </c>
      <c r="H182" s="43">
        <v>63.6</v>
      </c>
      <c r="I182" s="43">
        <v>46</v>
      </c>
      <c r="J182" s="16" t="s">
        <v>14</v>
      </c>
      <c r="K182" s="35">
        <f t="shared" si="11"/>
        <v>46.09</v>
      </c>
    </row>
    <row r="183" spans="1:11" x14ac:dyDescent="0.3">
      <c r="A183" s="16">
        <v>94714</v>
      </c>
      <c r="B183" s="16" t="s">
        <v>139</v>
      </c>
      <c r="C183" s="16" t="s">
        <v>132</v>
      </c>
      <c r="D183" s="16" t="s">
        <v>13</v>
      </c>
      <c r="E183" s="16">
        <v>3</v>
      </c>
      <c r="F183" s="16">
        <v>2.65</v>
      </c>
      <c r="G183" s="16">
        <v>24</v>
      </c>
      <c r="H183" s="43">
        <v>63.6</v>
      </c>
      <c r="I183" s="43">
        <v>46</v>
      </c>
      <c r="J183" s="16" t="s">
        <v>14</v>
      </c>
      <c r="K183" s="35">
        <f t="shared" si="11"/>
        <v>60.39</v>
      </c>
    </row>
    <row r="184" spans="1:11" x14ac:dyDescent="0.3">
      <c r="A184" s="16">
        <v>94716</v>
      </c>
      <c r="B184" s="16" t="s">
        <v>140</v>
      </c>
      <c r="C184" s="16" t="s">
        <v>132</v>
      </c>
      <c r="D184" s="16" t="s">
        <v>13</v>
      </c>
      <c r="E184" s="16">
        <v>3</v>
      </c>
      <c r="F184" s="16">
        <v>2.65</v>
      </c>
      <c r="G184" s="16">
        <v>24</v>
      </c>
      <c r="H184" s="43">
        <v>63.6</v>
      </c>
      <c r="I184" s="43">
        <v>46</v>
      </c>
      <c r="J184" s="16" t="s">
        <v>14</v>
      </c>
      <c r="K184" s="35">
        <f t="shared" si="11"/>
        <v>60.39</v>
      </c>
    </row>
    <row r="185" spans="1:11" x14ac:dyDescent="0.3">
      <c r="A185" s="16">
        <v>94718</v>
      </c>
      <c r="B185" s="16" t="s">
        <v>141</v>
      </c>
      <c r="C185" s="16" t="s">
        <v>132</v>
      </c>
      <c r="D185" s="16" t="s">
        <v>13</v>
      </c>
      <c r="E185" s="16">
        <v>3</v>
      </c>
      <c r="F185" s="16">
        <v>2.65</v>
      </c>
      <c r="G185" s="16">
        <v>24</v>
      </c>
      <c r="H185" s="43">
        <v>63.6</v>
      </c>
      <c r="I185" s="43">
        <v>46</v>
      </c>
      <c r="J185" s="16" t="s">
        <v>14</v>
      </c>
      <c r="K185" s="35">
        <f t="shared" si="11"/>
        <v>48.29</v>
      </c>
    </row>
    <row r="186" spans="1:11" x14ac:dyDescent="0.3">
      <c r="A186" s="16">
        <v>94720</v>
      </c>
      <c r="B186" s="16" t="s">
        <v>259</v>
      </c>
      <c r="C186" s="16" t="s">
        <v>132</v>
      </c>
      <c r="D186" s="16" t="s">
        <v>13</v>
      </c>
      <c r="E186" s="16">
        <v>3</v>
      </c>
      <c r="F186" s="16">
        <v>2.65</v>
      </c>
      <c r="G186" s="16">
        <v>24</v>
      </c>
      <c r="H186" s="43">
        <v>63.6</v>
      </c>
      <c r="I186" s="43">
        <v>46</v>
      </c>
      <c r="J186" s="16" t="s">
        <v>14</v>
      </c>
      <c r="K186" s="35">
        <f t="shared" si="11"/>
        <v>48.29</v>
      </c>
    </row>
    <row r="187" spans="1:11" x14ac:dyDescent="0.3">
      <c r="A187" s="16">
        <v>94721</v>
      </c>
      <c r="B187" s="16" t="s">
        <v>142</v>
      </c>
      <c r="C187" s="16" t="s">
        <v>132</v>
      </c>
      <c r="D187" s="16" t="s">
        <v>13</v>
      </c>
      <c r="E187" s="16">
        <v>3</v>
      </c>
      <c r="F187" s="16">
        <v>2.65</v>
      </c>
      <c r="G187" s="16">
        <v>24</v>
      </c>
      <c r="H187" s="43">
        <v>63.6</v>
      </c>
      <c r="I187" s="43">
        <v>46</v>
      </c>
      <c r="J187" s="16" t="s">
        <v>14</v>
      </c>
      <c r="K187" s="35">
        <f t="shared" si="11"/>
        <v>48.29</v>
      </c>
    </row>
    <row r="188" spans="1:11" x14ac:dyDescent="0.3">
      <c r="A188" s="5">
        <v>94722</v>
      </c>
      <c r="B188" s="5" t="s">
        <v>178</v>
      </c>
      <c r="C188" s="16" t="s">
        <v>132</v>
      </c>
      <c r="D188" s="5" t="s">
        <v>13</v>
      </c>
      <c r="E188" s="16">
        <v>3</v>
      </c>
      <c r="F188" s="16">
        <v>2.65</v>
      </c>
      <c r="G188" s="16">
        <v>24</v>
      </c>
      <c r="H188" s="43">
        <v>63.6</v>
      </c>
      <c r="I188" s="43">
        <v>46</v>
      </c>
      <c r="J188" s="5" t="s">
        <v>14</v>
      </c>
      <c r="K188" s="35">
        <f t="shared" si="11"/>
        <v>44.99</v>
      </c>
    </row>
    <row r="189" spans="1:11" x14ac:dyDescent="0.3">
      <c r="A189" s="16">
        <v>94723</v>
      </c>
      <c r="B189" s="16" t="s">
        <v>229</v>
      </c>
      <c r="C189" s="16" t="s">
        <v>132</v>
      </c>
      <c r="D189" s="16" t="s">
        <v>197</v>
      </c>
      <c r="E189" s="16">
        <v>3</v>
      </c>
      <c r="F189" s="16">
        <v>2.65</v>
      </c>
      <c r="G189" s="16">
        <v>24</v>
      </c>
      <c r="H189" s="43">
        <v>63.6</v>
      </c>
      <c r="I189" s="53">
        <v>46</v>
      </c>
      <c r="J189" s="16" t="s">
        <v>182</v>
      </c>
      <c r="K189" s="35">
        <f t="shared" si="11"/>
        <v>50.49</v>
      </c>
    </row>
    <row r="190" spans="1:11" x14ac:dyDescent="0.3">
      <c r="A190" s="16">
        <v>94725</v>
      </c>
      <c r="B190" s="16" t="s">
        <v>230</v>
      </c>
      <c r="C190" s="16" t="s">
        <v>132</v>
      </c>
      <c r="D190" s="16" t="s">
        <v>223</v>
      </c>
      <c r="E190" s="16">
        <v>3</v>
      </c>
      <c r="F190" s="16">
        <v>2.65</v>
      </c>
      <c r="G190" s="16">
        <v>24</v>
      </c>
      <c r="H190" s="43">
        <v>63.6</v>
      </c>
      <c r="I190" s="53">
        <v>46</v>
      </c>
      <c r="J190" s="16" t="s">
        <v>182</v>
      </c>
      <c r="K190" s="35">
        <f t="shared" si="11"/>
        <v>50.49</v>
      </c>
    </row>
    <row r="191" spans="1:11" x14ac:dyDescent="0.3">
      <c r="A191" s="16">
        <v>94727</v>
      </c>
      <c r="B191" s="16" t="s">
        <v>256</v>
      </c>
      <c r="C191" s="16" t="s">
        <v>132</v>
      </c>
      <c r="D191" s="16" t="s">
        <v>13</v>
      </c>
      <c r="E191" s="16">
        <v>3</v>
      </c>
      <c r="F191" s="16">
        <v>2.65</v>
      </c>
      <c r="G191" s="16">
        <v>24</v>
      </c>
      <c r="H191" s="43">
        <v>63.6</v>
      </c>
      <c r="I191" s="53">
        <v>46</v>
      </c>
      <c r="J191" s="16" t="s">
        <v>14</v>
      </c>
      <c r="K191" s="35">
        <f t="shared" ref="K191:K193" si="12">VLOOKUP(A191,tabelas,2,FALSE)</f>
        <v>44.99</v>
      </c>
    </row>
    <row r="192" spans="1:11" x14ac:dyDescent="0.3">
      <c r="A192" s="16">
        <v>94728</v>
      </c>
      <c r="B192" s="16" t="s">
        <v>257</v>
      </c>
      <c r="C192" s="16" t="s">
        <v>132</v>
      </c>
      <c r="D192" s="16" t="s">
        <v>223</v>
      </c>
      <c r="E192" s="16">
        <v>3</v>
      </c>
      <c r="F192" s="16">
        <v>2.65</v>
      </c>
      <c r="G192" s="16">
        <v>24</v>
      </c>
      <c r="H192" s="43">
        <v>63.6</v>
      </c>
      <c r="I192" s="53">
        <v>46</v>
      </c>
      <c r="J192" s="2" t="s">
        <v>219</v>
      </c>
      <c r="K192" s="35">
        <f t="shared" si="12"/>
        <v>50.49</v>
      </c>
    </row>
    <row r="193" spans="1:11" x14ac:dyDescent="0.3">
      <c r="A193" s="16">
        <v>94729</v>
      </c>
      <c r="B193" s="16" t="s">
        <v>258</v>
      </c>
      <c r="C193" s="16" t="s">
        <v>132</v>
      </c>
      <c r="D193" s="16" t="s">
        <v>223</v>
      </c>
      <c r="E193" s="16">
        <v>3</v>
      </c>
      <c r="F193" s="16">
        <v>2.65</v>
      </c>
      <c r="G193" s="16">
        <v>24</v>
      </c>
      <c r="H193" s="43">
        <v>63.6</v>
      </c>
      <c r="I193" s="53">
        <v>46</v>
      </c>
      <c r="J193" s="16" t="s">
        <v>219</v>
      </c>
      <c r="K193" s="35">
        <f t="shared" si="12"/>
        <v>50.49</v>
      </c>
    </row>
    <row r="194" spans="1:11" x14ac:dyDescent="0.3">
      <c r="A194" s="65">
        <v>94730</v>
      </c>
      <c r="B194" s="65" t="s">
        <v>280</v>
      </c>
      <c r="C194" s="65" t="s">
        <v>132</v>
      </c>
      <c r="D194" s="65" t="s">
        <v>13</v>
      </c>
      <c r="E194" s="65">
        <v>3</v>
      </c>
      <c r="F194" s="65">
        <v>2.65</v>
      </c>
      <c r="G194" s="65">
        <v>24</v>
      </c>
      <c r="H194" s="66">
        <v>63.6</v>
      </c>
      <c r="I194" s="67">
        <v>46</v>
      </c>
      <c r="J194" s="65" t="s">
        <v>14</v>
      </c>
      <c r="K194" s="58">
        <v>46.09</v>
      </c>
    </row>
    <row r="195" spans="1:11" x14ac:dyDescent="0.3">
      <c r="A195" s="65">
        <v>94731</v>
      </c>
      <c r="B195" s="65" t="s">
        <v>281</v>
      </c>
      <c r="C195" s="65" t="s">
        <v>132</v>
      </c>
      <c r="D195" s="65" t="s">
        <v>13</v>
      </c>
      <c r="E195" s="65">
        <v>3</v>
      </c>
      <c r="F195" s="65">
        <v>2.65</v>
      </c>
      <c r="G195" s="65">
        <v>24</v>
      </c>
      <c r="H195" s="66">
        <v>63.6</v>
      </c>
      <c r="I195" s="67">
        <v>46</v>
      </c>
      <c r="J195" s="65" t="s">
        <v>14</v>
      </c>
      <c r="K195" s="58">
        <v>46.09</v>
      </c>
    </row>
    <row r="196" spans="1:11" x14ac:dyDescent="0.3">
      <c r="A196" s="65">
        <v>94732</v>
      </c>
      <c r="B196" s="65" t="s">
        <v>282</v>
      </c>
      <c r="C196" s="65" t="s">
        <v>132</v>
      </c>
      <c r="D196" s="65" t="s">
        <v>13</v>
      </c>
      <c r="E196" s="65">
        <v>3</v>
      </c>
      <c r="F196" s="65">
        <v>2.65</v>
      </c>
      <c r="G196" s="65">
        <v>24</v>
      </c>
      <c r="H196" s="66">
        <v>63.6</v>
      </c>
      <c r="I196" s="67">
        <v>46</v>
      </c>
      <c r="J196" s="65" t="s">
        <v>14</v>
      </c>
      <c r="K196" s="58">
        <v>46.09</v>
      </c>
    </row>
    <row r="197" spans="1:11" x14ac:dyDescent="0.3">
      <c r="A197" s="65">
        <v>94733</v>
      </c>
      <c r="B197" s="65" t="s">
        <v>283</v>
      </c>
      <c r="C197" s="65" t="s">
        <v>132</v>
      </c>
      <c r="D197" s="65" t="s">
        <v>197</v>
      </c>
      <c r="E197" s="65">
        <v>3</v>
      </c>
      <c r="F197" s="65">
        <v>2.65</v>
      </c>
      <c r="G197" s="65">
        <v>24</v>
      </c>
      <c r="H197" s="66">
        <v>63.6</v>
      </c>
      <c r="I197" s="67">
        <v>46</v>
      </c>
      <c r="J197" s="65" t="s">
        <v>219</v>
      </c>
      <c r="K197" s="58">
        <v>50.49</v>
      </c>
    </row>
    <row r="198" spans="1:11" x14ac:dyDescent="0.3">
      <c r="A198" s="65">
        <v>94734</v>
      </c>
      <c r="B198" s="65" t="s">
        <v>284</v>
      </c>
      <c r="C198" s="65" t="s">
        <v>132</v>
      </c>
      <c r="D198" s="65" t="s">
        <v>13</v>
      </c>
      <c r="E198" s="65">
        <v>3</v>
      </c>
      <c r="F198" s="65">
        <v>2.65</v>
      </c>
      <c r="G198" s="65">
        <v>24</v>
      </c>
      <c r="H198" s="66">
        <v>63.6</v>
      </c>
      <c r="I198" s="67">
        <v>46</v>
      </c>
      <c r="J198" s="65" t="s">
        <v>14</v>
      </c>
      <c r="K198" s="58">
        <v>47.190000000000005</v>
      </c>
    </row>
    <row r="201" spans="1:11" x14ac:dyDescent="0.3">
      <c r="A201" s="100" t="s">
        <v>154</v>
      </c>
      <c r="B201" s="101"/>
      <c r="C201" s="49"/>
    </row>
    <row r="202" spans="1:11" x14ac:dyDescent="0.3">
      <c r="A202" s="102"/>
      <c r="B202" s="103"/>
      <c r="C202" s="99"/>
      <c r="D202" s="99"/>
      <c r="E202" s="99"/>
      <c r="F202" s="99"/>
      <c r="G202" s="99"/>
      <c r="H202" s="99"/>
      <c r="I202" s="99"/>
      <c r="J202" s="99"/>
      <c r="K202" s="99"/>
    </row>
    <row r="203" spans="1:11" x14ac:dyDescent="0.3">
      <c r="A203" s="1" t="s">
        <v>1</v>
      </c>
      <c r="B203" s="1" t="s">
        <v>2</v>
      </c>
      <c r="C203" s="1" t="s">
        <v>3</v>
      </c>
      <c r="D203" s="1" t="s">
        <v>4</v>
      </c>
      <c r="E203" s="1" t="s">
        <v>5</v>
      </c>
      <c r="F203" s="1" t="s">
        <v>6</v>
      </c>
      <c r="G203" s="1" t="s">
        <v>7</v>
      </c>
      <c r="H203" s="1" t="s">
        <v>8</v>
      </c>
      <c r="I203" s="1" t="s">
        <v>9</v>
      </c>
      <c r="J203" s="1" t="s">
        <v>10</v>
      </c>
      <c r="K203" s="39" t="s">
        <v>11</v>
      </c>
    </row>
    <row r="204" spans="1:11" x14ac:dyDescent="0.3">
      <c r="A204" s="16" t="s">
        <v>143</v>
      </c>
      <c r="B204" s="16" t="s">
        <v>177</v>
      </c>
      <c r="C204" s="16" t="s">
        <v>154</v>
      </c>
      <c r="D204" s="16" t="s">
        <v>37</v>
      </c>
      <c r="E204" s="16">
        <v>3</v>
      </c>
      <c r="F204" s="16">
        <v>2.65</v>
      </c>
      <c r="G204" s="16">
        <v>24</v>
      </c>
      <c r="H204" s="43">
        <v>63.6</v>
      </c>
      <c r="I204" s="43">
        <v>46</v>
      </c>
      <c r="J204" s="16" t="s">
        <v>38</v>
      </c>
      <c r="K204" s="35">
        <f t="shared" ref="K204:K211" si="13">VLOOKUP(A204,tabelas,2,FALSE)</f>
        <v>57.09</v>
      </c>
    </row>
    <row r="205" spans="1:11" x14ac:dyDescent="0.3">
      <c r="A205" s="16" t="s">
        <v>144</v>
      </c>
      <c r="B205" s="16" t="s">
        <v>155</v>
      </c>
      <c r="C205" s="16" t="s">
        <v>154</v>
      </c>
      <c r="D205" s="16" t="s">
        <v>37</v>
      </c>
      <c r="E205" s="16">
        <v>3</v>
      </c>
      <c r="F205" s="16">
        <v>2.65</v>
      </c>
      <c r="G205" s="16">
        <v>24</v>
      </c>
      <c r="H205" s="43">
        <v>63.6</v>
      </c>
      <c r="I205" s="43">
        <v>46</v>
      </c>
      <c r="J205" s="16" t="s">
        <v>38</v>
      </c>
      <c r="K205" s="35">
        <f t="shared" si="13"/>
        <v>57.09</v>
      </c>
    </row>
    <row r="206" spans="1:11" x14ac:dyDescent="0.3">
      <c r="A206" s="16" t="s">
        <v>145</v>
      </c>
      <c r="B206" s="16" t="s">
        <v>156</v>
      </c>
      <c r="C206" s="16" t="s">
        <v>154</v>
      </c>
      <c r="D206" s="16" t="s">
        <v>37</v>
      </c>
      <c r="E206" s="16">
        <v>3</v>
      </c>
      <c r="F206" s="16">
        <v>2.65</v>
      </c>
      <c r="G206" s="16">
        <v>24</v>
      </c>
      <c r="H206" s="43">
        <v>63.6</v>
      </c>
      <c r="I206" s="43">
        <v>46</v>
      </c>
      <c r="J206" s="16" t="s">
        <v>38</v>
      </c>
      <c r="K206" s="35">
        <f t="shared" si="13"/>
        <v>61.49</v>
      </c>
    </row>
    <row r="207" spans="1:11" x14ac:dyDescent="0.3">
      <c r="A207" s="16" t="s">
        <v>146</v>
      </c>
      <c r="B207" s="16" t="s">
        <v>157</v>
      </c>
      <c r="C207" s="16" t="s">
        <v>154</v>
      </c>
      <c r="D207" s="16" t="s">
        <v>37</v>
      </c>
      <c r="E207" s="16">
        <v>3</v>
      </c>
      <c r="F207" s="16">
        <v>2.65</v>
      </c>
      <c r="G207" s="16">
        <v>24</v>
      </c>
      <c r="H207" s="43">
        <v>63.6</v>
      </c>
      <c r="I207" s="43">
        <v>46</v>
      </c>
      <c r="J207" s="16" t="s">
        <v>38</v>
      </c>
      <c r="K207" s="35">
        <f t="shared" si="13"/>
        <v>57.09</v>
      </c>
    </row>
    <row r="208" spans="1:11" x14ac:dyDescent="0.3">
      <c r="A208" s="16" t="s">
        <v>147</v>
      </c>
      <c r="B208" s="16" t="s">
        <v>158</v>
      </c>
      <c r="C208" s="16" t="s">
        <v>154</v>
      </c>
      <c r="D208" s="16" t="s">
        <v>37</v>
      </c>
      <c r="E208" s="16">
        <v>3</v>
      </c>
      <c r="F208" s="16">
        <v>2.65</v>
      </c>
      <c r="G208" s="16">
        <v>24</v>
      </c>
      <c r="H208" s="43">
        <v>63.6</v>
      </c>
      <c r="I208" s="43">
        <v>46</v>
      </c>
      <c r="J208" s="16" t="s">
        <v>38</v>
      </c>
      <c r="K208" s="35">
        <f t="shared" si="13"/>
        <v>66.989999999999995</v>
      </c>
    </row>
    <row r="209" spans="1:11" x14ac:dyDescent="0.3">
      <c r="A209" s="16" t="s">
        <v>148</v>
      </c>
      <c r="B209" s="16" t="s">
        <v>159</v>
      </c>
      <c r="C209" s="16" t="s">
        <v>154</v>
      </c>
      <c r="D209" s="16" t="s">
        <v>37</v>
      </c>
      <c r="E209" s="16">
        <v>3</v>
      </c>
      <c r="F209" s="16">
        <v>2.65</v>
      </c>
      <c r="G209" s="16">
        <v>24</v>
      </c>
      <c r="H209" s="43">
        <v>63.6</v>
      </c>
      <c r="I209" s="43">
        <v>46</v>
      </c>
      <c r="J209" s="16" t="s">
        <v>38</v>
      </c>
      <c r="K209" s="35">
        <f t="shared" si="13"/>
        <v>60.39</v>
      </c>
    </row>
    <row r="210" spans="1:11" x14ac:dyDescent="0.3">
      <c r="A210" s="16" t="s">
        <v>149</v>
      </c>
      <c r="B210" s="16" t="s">
        <v>160</v>
      </c>
      <c r="C210" s="16" t="s">
        <v>154</v>
      </c>
      <c r="D210" s="16" t="s">
        <v>37</v>
      </c>
      <c r="E210" s="16">
        <v>3</v>
      </c>
      <c r="F210" s="16">
        <v>2.65</v>
      </c>
      <c r="G210" s="16">
        <v>24</v>
      </c>
      <c r="H210" s="43">
        <v>63.6</v>
      </c>
      <c r="I210" s="43">
        <v>46</v>
      </c>
      <c r="J210" s="16" t="s">
        <v>38</v>
      </c>
      <c r="K210" s="35">
        <f t="shared" si="13"/>
        <v>60.39</v>
      </c>
    </row>
    <row r="211" spans="1:11" x14ac:dyDescent="0.3">
      <c r="A211" s="16" t="s">
        <v>231</v>
      </c>
      <c r="B211" s="16" t="s">
        <v>232</v>
      </c>
      <c r="C211" s="16" t="s">
        <v>154</v>
      </c>
      <c r="D211" s="16" t="s">
        <v>37</v>
      </c>
      <c r="E211" s="16">
        <v>3</v>
      </c>
      <c r="F211" s="16">
        <v>2.65</v>
      </c>
      <c r="G211" s="16">
        <v>24</v>
      </c>
      <c r="H211" s="43">
        <v>63.6</v>
      </c>
      <c r="I211" s="43">
        <v>46</v>
      </c>
      <c r="J211" s="16" t="s">
        <v>38</v>
      </c>
      <c r="K211" s="35">
        <f t="shared" si="13"/>
        <v>60.39</v>
      </c>
    </row>
    <row r="212" spans="1:11" x14ac:dyDescent="0.3">
      <c r="A212" s="65" t="s">
        <v>285</v>
      </c>
      <c r="B212" s="65" t="s">
        <v>287</v>
      </c>
      <c r="C212" s="65" t="s">
        <v>154</v>
      </c>
      <c r="D212" s="65" t="s">
        <v>37</v>
      </c>
      <c r="E212" s="65">
        <v>3</v>
      </c>
      <c r="F212" s="65">
        <v>2.65</v>
      </c>
      <c r="G212" s="65">
        <v>24</v>
      </c>
      <c r="H212" s="66">
        <v>63.6</v>
      </c>
      <c r="I212" s="66">
        <v>46</v>
      </c>
      <c r="J212" s="65" t="s">
        <v>38</v>
      </c>
      <c r="K212" s="58">
        <v>58.19</v>
      </c>
    </row>
    <row r="213" spans="1:11" x14ac:dyDescent="0.3">
      <c r="A213" s="65" t="s">
        <v>286</v>
      </c>
      <c r="B213" s="65" t="s">
        <v>288</v>
      </c>
      <c r="C213" s="65" t="s">
        <v>154</v>
      </c>
      <c r="D213" s="65" t="s">
        <v>37</v>
      </c>
      <c r="E213" s="65">
        <v>3</v>
      </c>
      <c r="F213" s="65">
        <v>2.65</v>
      </c>
      <c r="G213" s="65">
        <v>24</v>
      </c>
      <c r="H213" s="66">
        <v>63.6</v>
      </c>
      <c r="I213" s="66">
        <v>46</v>
      </c>
      <c r="J213" s="65" t="s">
        <v>38</v>
      </c>
      <c r="K213" s="58">
        <v>58.19</v>
      </c>
    </row>
    <row r="215" spans="1:11" x14ac:dyDescent="0.3">
      <c r="A215" s="100" t="s">
        <v>161</v>
      </c>
      <c r="B215" s="101"/>
      <c r="C215" s="49"/>
    </row>
    <row r="216" spans="1:11" x14ac:dyDescent="0.3">
      <c r="A216" s="102"/>
      <c r="B216" s="103"/>
      <c r="C216" s="99"/>
      <c r="D216" s="99"/>
      <c r="E216" s="99"/>
      <c r="F216" s="99"/>
      <c r="G216" s="99"/>
      <c r="H216" s="99"/>
      <c r="I216" s="99"/>
      <c r="J216" s="99"/>
      <c r="K216" s="99"/>
    </row>
    <row r="217" spans="1:11" x14ac:dyDescent="0.3">
      <c r="A217" s="1" t="s">
        <v>1</v>
      </c>
      <c r="B217" s="1" t="s">
        <v>2</v>
      </c>
      <c r="C217" s="1" t="s">
        <v>3</v>
      </c>
      <c r="D217" s="1" t="s">
        <v>4</v>
      </c>
      <c r="E217" s="1" t="s">
        <v>5</v>
      </c>
      <c r="F217" s="1" t="s">
        <v>6</v>
      </c>
      <c r="G217" s="1" t="s">
        <v>7</v>
      </c>
      <c r="H217" s="1" t="s">
        <v>8</v>
      </c>
      <c r="I217" s="1" t="s">
        <v>9</v>
      </c>
      <c r="J217" s="1" t="s">
        <v>10</v>
      </c>
      <c r="K217" s="39" t="s">
        <v>11</v>
      </c>
    </row>
    <row r="218" spans="1:11" x14ac:dyDescent="0.3">
      <c r="A218" s="16">
        <v>98703</v>
      </c>
      <c r="B218" s="16" t="s">
        <v>164</v>
      </c>
      <c r="C218" s="16" t="s">
        <v>161</v>
      </c>
      <c r="D218" s="16" t="s">
        <v>13</v>
      </c>
      <c r="E218" s="16">
        <v>2</v>
      </c>
      <c r="F218" s="16">
        <v>3.45</v>
      </c>
      <c r="G218" s="16">
        <v>24</v>
      </c>
      <c r="H218" s="43">
        <v>82.8</v>
      </c>
      <c r="I218" s="43">
        <v>63.5</v>
      </c>
      <c r="J218" s="5" t="s">
        <v>14</v>
      </c>
      <c r="K218" s="35">
        <f>VLOOKUP(A218,tabelas,2,FALSE)</f>
        <v>117.59</v>
      </c>
    </row>
    <row r="221" spans="1:11" x14ac:dyDescent="0.3">
      <c r="A221" s="100" t="s">
        <v>162</v>
      </c>
      <c r="B221" s="101"/>
      <c r="C221" s="49"/>
    </row>
    <row r="222" spans="1:11" x14ac:dyDescent="0.3">
      <c r="A222" s="102"/>
      <c r="B222" s="103"/>
      <c r="C222" s="99"/>
      <c r="D222" s="99"/>
      <c r="E222" s="99"/>
      <c r="F222" s="99"/>
      <c r="G222" s="99"/>
      <c r="H222" s="99"/>
      <c r="I222" s="99"/>
      <c r="J222" s="99"/>
      <c r="K222" s="99"/>
    </row>
    <row r="223" spans="1:11" x14ac:dyDescent="0.3">
      <c r="A223" s="1" t="s">
        <v>1</v>
      </c>
      <c r="B223" s="1" t="s">
        <v>2</v>
      </c>
      <c r="C223" s="1" t="s">
        <v>3</v>
      </c>
      <c r="D223" s="1" t="s">
        <v>4</v>
      </c>
      <c r="E223" s="1" t="s">
        <v>5</v>
      </c>
      <c r="F223" s="1" t="s">
        <v>6</v>
      </c>
      <c r="G223" s="1" t="s">
        <v>7</v>
      </c>
      <c r="H223" s="1" t="s">
        <v>8</v>
      </c>
      <c r="I223" s="1" t="s">
        <v>9</v>
      </c>
      <c r="J223" s="1" t="s">
        <v>10</v>
      </c>
      <c r="K223" s="39" t="s">
        <v>11</v>
      </c>
    </row>
    <row r="224" spans="1:11" x14ac:dyDescent="0.3">
      <c r="A224" s="16" t="s">
        <v>151</v>
      </c>
      <c r="B224" s="16" t="s">
        <v>165</v>
      </c>
      <c r="C224" s="16" t="s">
        <v>162</v>
      </c>
      <c r="D224" s="16" t="s">
        <v>37</v>
      </c>
      <c r="E224" s="16">
        <v>2</v>
      </c>
      <c r="F224" s="16">
        <v>3.45</v>
      </c>
      <c r="G224" s="16">
        <v>24</v>
      </c>
      <c r="H224" s="43">
        <v>82.8</v>
      </c>
      <c r="I224" s="43">
        <v>63.5</v>
      </c>
      <c r="J224" s="16" t="s">
        <v>38</v>
      </c>
      <c r="K224" s="35">
        <f>VLOOKUP(A224,tabelas,2,FALSE)</f>
        <v>128.69999999999999</v>
      </c>
    </row>
    <row r="225" spans="1:11" x14ac:dyDescent="0.3">
      <c r="A225" s="16" t="s">
        <v>152</v>
      </c>
      <c r="B225" s="16" t="s">
        <v>166</v>
      </c>
      <c r="C225" s="16" t="s">
        <v>162</v>
      </c>
      <c r="D225" s="16" t="s">
        <v>37</v>
      </c>
      <c r="E225" s="16">
        <v>2</v>
      </c>
      <c r="F225" s="16">
        <v>3.45</v>
      </c>
      <c r="G225" s="16">
        <v>24</v>
      </c>
      <c r="H225" s="43">
        <v>82.8</v>
      </c>
      <c r="I225" s="43">
        <v>63.5</v>
      </c>
      <c r="J225" s="16" t="s">
        <v>38</v>
      </c>
      <c r="K225" s="35">
        <f>VLOOKUP(A225,tabelas,2,FALSE)</f>
        <v>126.5</v>
      </c>
    </row>
    <row r="226" spans="1:11" x14ac:dyDescent="0.3">
      <c r="A226" s="16" t="s">
        <v>153</v>
      </c>
      <c r="B226" s="16" t="s">
        <v>167</v>
      </c>
      <c r="C226" s="16" t="s">
        <v>162</v>
      </c>
      <c r="D226" s="16" t="s">
        <v>37</v>
      </c>
      <c r="E226" s="16">
        <v>2</v>
      </c>
      <c r="F226" s="16">
        <v>3.45</v>
      </c>
      <c r="G226" s="16">
        <v>24</v>
      </c>
      <c r="H226" s="43">
        <v>82.8</v>
      </c>
      <c r="I226" s="43">
        <v>63.5</v>
      </c>
      <c r="J226" s="16" t="s">
        <v>38</v>
      </c>
      <c r="K226" s="35">
        <f>VLOOKUP(A226,tabelas,2,FALSE)</f>
        <v>130.9</v>
      </c>
    </row>
    <row r="229" spans="1:11" x14ac:dyDescent="0.3">
      <c r="A229" s="100" t="s">
        <v>163</v>
      </c>
      <c r="B229" s="101"/>
      <c r="C229" s="49"/>
    </row>
    <row r="230" spans="1:11" x14ac:dyDescent="0.3">
      <c r="A230" s="102"/>
      <c r="B230" s="103"/>
      <c r="C230" s="99"/>
      <c r="D230" s="99"/>
      <c r="E230" s="99"/>
      <c r="F230" s="99"/>
      <c r="G230" s="99"/>
      <c r="H230" s="99"/>
      <c r="I230" s="99"/>
      <c r="J230" s="99"/>
      <c r="K230" s="99"/>
    </row>
    <row r="231" spans="1:11" x14ac:dyDescent="0.3">
      <c r="A231" s="1" t="s">
        <v>1</v>
      </c>
      <c r="B231" s="1" t="s">
        <v>2</v>
      </c>
      <c r="C231" s="1" t="s">
        <v>3</v>
      </c>
      <c r="D231" s="1" t="s">
        <v>4</v>
      </c>
      <c r="E231" s="1" t="s">
        <v>5</v>
      </c>
      <c r="F231" s="1" t="s">
        <v>6</v>
      </c>
      <c r="G231" s="1" t="s">
        <v>7</v>
      </c>
      <c r="H231" s="1" t="s">
        <v>8</v>
      </c>
      <c r="I231" s="1" t="s">
        <v>9</v>
      </c>
      <c r="J231" s="1" t="s">
        <v>10</v>
      </c>
      <c r="K231" s="39" t="s">
        <v>11</v>
      </c>
    </row>
    <row r="232" spans="1:11" x14ac:dyDescent="0.3">
      <c r="A232" s="16">
        <v>184700</v>
      </c>
      <c r="B232" s="16" t="s">
        <v>168</v>
      </c>
      <c r="C232" s="16" t="s">
        <v>163</v>
      </c>
      <c r="D232" s="16" t="s">
        <v>13</v>
      </c>
      <c r="E232" s="16">
        <v>4</v>
      </c>
      <c r="F232" s="16">
        <v>2.2799999999999998</v>
      </c>
      <c r="G232" s="16">
        <v>36</v>
      </c>
      <c r="H232" s="43">
        <v>82.08</v>
      </c>
      <c r="I232" s="43">
        <v>46</v>
      </c>
      <c r="J232" s="5" t="s">
        <v>14</v>
      </c>
      <c r="K232" s="35">
        <f>VLOOKUP(A232,tabelas,2,FALSE)</f>
        <v>116.05</v>
      </c>
    </row>
  </sheetData>
  <autoFilter ref="A2:K232" xr:uid="{00000000-0009-0000-0000-000000000000}">
    <filterColumn colId="0" showButton="0"/>
  </autoFilter>
  <mergeCells count="35">
    <mergeCell ref="C222:K222"/>
    <mergeCell ref="C230:K230"/>
    <mergeCell ref="A221:B222"/>
    <mergeCell ref="A229:B230"/>
    <mergeCell ref="A171:B171"/>
    <mergeCell ref="A172:B173"/>
    <mergeCell ref="A201:B202"/>
    <mergeCell ref="A215:B216"/>
    <mergeCell ref="A162:B163"/>
    <mergeCell ref="A2:B2"/>
    <mergeCell ref="A3:B4"/>
    <mergeCell ref="A12:B13"/>
    <mergeCell ref="A114:B115"/>
    <mergeCell ref="A125:B126"/>
    <mergeCell ref="A55:B56"/>
    <mergeCell ref="A93:B94"/>
    <mergeCell ref="A27:B28"/>
    <mergeCell ref="A45:B46"/>
    <mergeCell ref="A79:B79"/>
    <mergeCell ref="A80:B81"/>
    <mergeCell ref="A145:B146"/>
    <mergeCell ref="C163:K163"/>
    <mergeCell ref="C173:K173"/>
    <mergeCell ref="C202:K202"/>
    <mergeCell ref="C216:K216"/>
    <mergeCell ref="C4:K4"/>
    <mergeCell ref="C13:K13"/>
    <mergeCell ref="C28:K28"/>
    <mergeCell ref="C46:K46"/>
    <mergeCell ref="C146:K146"/>
    <mergeCell ref="C56:K56"/>
    <mergeCell ref="C81:K81"/>
    <mergeCell ref="C94:K94"/>
    <mergeCell ref="C115:K115"/>
    <mergeCell ref="C126:K126"/>
  </mergeCells>
  <phoneticPr fontId="12" type="noConversion"/>
  <pageMargins left="0.511811024" right="0.511811024" top="0.78740157499999996" bottom="0.78740157499999996" header="0.31496062000000002" footer="0.31496062000000002"/>
  <pageSetup paperSize="9" scale="92" fitToHeight="0" orientation="landscape" r:id="rId1"/>
  <rowBreaks count="3" manualBreakCount="3">
    <brk id="76" max="16383" man="1"/>
    <brk id="160" max="16383" man="1"/>
    <brk id="19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CCA3-0656-4409-ABB7-398C4698F621}">
  <dimension ref="A5:L158"/>
  <sheetViews>
    <sheetView showGridLines="0" tabSelected="1" workbookViewId="0">
      <pane ySplit="5" topLeftCell="A6" activePane="bottomLeft" state="frozen"/>
      <selection pane="bottomLeft" activeCell="K1" sqref="K1:K1048576"/>
    </sheetView>
  </sheetViews>
  <sheetFormatPr defaultRowHeight="14.4" x14ac:dyDescent="0.3"/>
  <cols>
    <col min="1" max="1" width="7" style="68" bestFit="1" customWidth="1"/>
    <col min="2" max="2" width="25.44140625" style="68" bestFit="1" customWidth="1"/>
    <col min="3" max="3" width="12.77734375" style="68" bestFit="1" customWidth="1"/>
    <col min="4" max="4" width="18.21875" style="68" bestFit="1" customWidth="1"/>
    <col min="5" max="5" width="8.109375" style="68" bestFit="1" customWidth="1"/>
    <col min="6" max="6" width="8.5546875" style="68" bestFit="1" customWidth="1"/>
    <col min="7" max="7" width="10.77734375" style="68" hidden="1" customWidth="1"/>
    <col min="8" max="8" width="11.109375" style="68" hidden="1" customWidth="1"/>
    <col min="9" max="9" width="14.21875" style="68" hidden="1" customWidth="1"/>
    <col min="10" max="10" width="18.77734375" style="68" bestFit="1" customWidth="1"/>
    <col min="11" max="11" width="10.5546875" style="69" hidden="1" customWidth="1"/>
    <col min="12" max="12" width="9" bestFit="1" customWidth="1"/>
  </cols>
  <sheetData>
    <row r="5" spans="1:12" x14ac:dyDescent="0.3">
      <c r="A5" s="70" t="s">
        <v>1</v>
      </c>
      <c r="B5" s="70" t="s">
        <v>2</v>
      </c>
      <c r="C5" s="70" t="s">
        <v>3</v>
      </c>
      <c r="D5" s="70" t="s">
        <v>4</v>
      </c>
      <c r="E5" s="70" t="s">
        <v>5</v>
      </c>
      <c r="F5" s="70" t="s">
        <v>6</v>
      </c>
      <c r="G5" s="70" t="s">
        <v>7</v>
      </c>
      <c r="H5" s="70" t="s">
        <v>8</v>
      </c>
      <c r="I5" s="70" t="s">
        <v>9</v>
      </c>
      <c r="J5" s="70" t="s">
        <v>10</v>
      </c>
      <c r="K5" s="71" t="s">
        <v>290</v>
      </c>
      <c r="L5" s="70" t="s">
        <v>291</v>
      </c>
    </row>
    <row r="6" spans="1:12" x14ac:dyDescent="0.3">
      <c r="A6" s="86">
        <v>70508</v>
      </c>
      <c r="B6" s="86" t="s">
        <v>69</v>
      </c>
      <c r="C6" s="86" t="s">
        <v>122</v>
      </c>
      <c r="D6" s="86" t="s">
        <v>13</v>
      </c>
      <c r="E6" s="87">
        <v>4</v>
      </c>
      <c r="F6" s="87">
        <v>2.73</v>
      </c>
      <c r="G6" s="87">
        <v>32</v>
      </c>
      <c r="H6" s="88">
        <v>87.36</v>
      </c>
      <c r="I6" s="88">
        <v>48</v>
      </c>
      <c r="J6" s="86" t="s">
        <v>14</v>
      </c>
      <c r="K6" s="96">
        <f t="shared" ref="K6:K20" si="0">VLOOKUP(A6,tabelas,2,FALSE)</f>
        <v>40.590000000000003</v>
      </c>
      <c r="L6" s="98">
        <f t="shared" ref="L6:L37" si="1">K6*2.4</f>
        <v>97.416000000000011</v>
      </c>
    </row>
    <row r="7" spans="1:12" x14ac:dyDescent="0.3">
      <c r="A7" s="86">
        <v>70509</v>
      </c>
      <c r="B7" s="86" t="s">
        <v>70</v>
      </c>
      <c r="C7" s="86" t="s">
        <v>122</v>
      </c>
      <c r="D7" s="86" t="s">
        <v>13</v>
      </c>
      <c r="E7" s="87">
        <v>4</v>
      </c>
      <c r="F7" s="87">
        <v>2.73</v>
      </c>
      <c r="G7" s="87">
        <v>32</v>
      </c>
      <c r="H7" s="88">
        <v>87.36</v>
      </c>
      <c r="I7" s="88">
        <v>48</v>
      </c>
      <c r="J7" s="86" t="s">
        <v>14</v>
      </c>
      <c r="K7" s="96">
        <f t="shared" si="0"/>
        <v>41.69</v>
      </c>
      <c r="L7" s="98">
        <f t="shared" si="1"/>
        <v>100.056</v>
      </c>
    </row>
    <row r="8" spans="1:12" x14ac:dyDescent="0.3">
      <c r="A8" s="72">
        <v>70511</v>
      </c>
      <c r="B8" s="72" t="s">
        <v>71</v>
      </c>
      <c r="C8" s="72" t="s">
        <v>122</v>
      </c>
      <c r="D8" s="72" t="s">
        <v>13</v>
      </c>
      <c r="E8" s="73">
        <v>4</v>
      </c>
      <c r="F8" s="73">
        <v>2.73</v>
      </c>
      <c r="G8" s="87">
        <v>32</v>
      </c>
      <c r="H8" s="88">
        <v>87.36</v>
      </c>
      <c r="I8" s="74">
        <v>48</v>
      </c>
      <c r="J8" s="72" t="s">
        <v>14</v>
      </c>
      <c r="K8" s="96">
        <f t="shared" si="0"/>
        <v>42.79</v>
      </c>
      <c r="L8" s="98">
        <f t="shared" si="1"/>
        <v>102.696</v>
      </c>
    </row>
    <row r="9" spans="1:12" x14ac:dyDescent="0.3">
      <c r="A9" s="72">
        <v>70512</v>
      </c>
      <c r="B9" s="72" t="s">
        <v>72</v>
      </c>
      <c r="C9" s="72" t="s">
        <v>122</v>
      </c>
      <c r="D9" s="72" t="s">
        <v>13</v>
      </c>
      <c r="E9" s="73">
        <v>4</v>
      </c>
      <c r="F9" s="73">
        <v>2.73</v>
      </c>
      <c r="G9" s="87">
        <v>32</v>
      </c>
      <c r="H9" s="88">
        <v>87.36</v>
      </c>
      <c r="I9" s="74">
        <v>48</v>
      </c>
      <c r="J9" s="72" t="s">
        <v>14</v>
      </c>
      <c r="K9" s="96">
        <f t="shared" si="0"/>
        <v>40.590000000000003</v>
      </c>
      <c r="L9" s="98">
        <f t="shared" si="1"/>
        <v>97.416000000000011</v>
      </c>
    </row>
    <row r="10" spans="1:12" x14ac:dyDescent="0.3">
      <c r="A10" s="72">
        <v>70522</v>
      </c>
      <c r="B10" s="72" t="s">
        <v>73</v>
      </c>
      <c r="C10" s="72" t="s">
        <v>122</v>
      </c>
      <c r="D10" s="72" t="s">
        <v>13</v>
      </c>
      <c r="E10" s="73">
        <v>4</v>
      </c>
      <c r="F10" s="73">
        <v>2.73</v>
      </c>
      <c r="G10" s="73">
        <v>32</v>
      </c>
      <c r="H10" s="74">
        <v>87.36</v>
      </c>
      <c r="I10" s="74">
        <v>48</v>
      </c>
      <c r="J10" s="72" t="s">
        <v>14</v>
      </c>
      <c r="K10" s="96">
        <f t="shared" si="0"/>
        <v>42.79</v>
      </c>
      <c r="L10" s="98">
        <f t="shared" si="1"/>
        <v>102.696</v>
      </c>
    </row>
    <row r="11" spans="1:12" x14ac:dyDescent="0.3">
      <c r="A11" s="72">
        <v>70523</v>
      </c>
      <c r="B11" s="72" t="s">
        <v>74</v>
      </c>
      <c r="C11" s="72" t="s">
        <v>122</v>
      </c>
      <c r="D11" s="72" t="s">
        <v>13</v>
      </c>
      <c r="E11" s="73">
        <v>4</v>
      </c>
      <c r="F11" s="73">
        <v>2.73</v>
      </c>
      <c r="G11" s="73">
        <v>32</v>
      </c>
      <c r="H11" s="74">
        <v>87.36</v>
      </c>
      <c r="I11" s="74">
        <v>48</v>
      </c>
      <c r="J11" s="72" t="s">
        <v>14</v>
      </c>
      <c r="K11" s="96">
        <f t="shared" si="0"/>
        <v>41.69</v>
      </c>
      <c r="L11" s="98">
        <f t="shared" si="1"/>
        <v>100.056</v>
      </c>
    </row>
    <row r="12" spans="1:12" x14ac:dyDescent="0.3">
      <c r="A12" s="72">
        <v>70525</v>
      </c>
      <c r="B12" s="72" t="s">
        <v>75</v>
      </c>
      <c r="C12" s="72" t="s">
        <v>122</v>
      </c>
      <c r="D12" s="72" t="s">
        <v>16</v>
      </c>
      <c r="E12" s="73">
        <v>4</v>
      </c>
      <c r="F12" s="73">
        <v>2.73</v>
      </c>
      <c r="G12" s="73">
        <v>32</v>
      </c>
      <c r="H12" s="74">
        <v>87.36</v>
      </c>
      <c r="I12" s="74">
        <v>48</v>
      </c>
      <c r="J12" s="72" t="s">
        <v>17</v>
      </c>
      <c r="K12" s="96">
        <f t="shared" si="0"/>
        <v>42.79</v>
      </c>
      <c r="L12" s="98">
        <f t="shared" si="1"/>
        <v>102.696</v>
      </c>
    </row>
    <row r="13" spans="1:12" x14ac:dyDescent="0.3">
      <c r="A13" s="72">
        <v>70526</v>
      </c>
      <c r="B13" s="72" t="s">
        <v>76</v>
      </c>
      <c r="C13" s="72" t="s">
        <v>122</v>
      </c>
      <c r="D13" s="72" t="s">
        <v>13</v>
      </c>
      <c r="E13" s="73">
        <v>4</v>
      </c>
      <c r="F13" s="73">
        <v>2.73</v>
      </c>
      <c r="G13" s="73">
        <v>32</v>
      </c>
      <c r="H13" s="74">
        <v>87.36</v>
      </c>
      <c r="I13" s="74">
        <v>48</v>
      </c>
      <c r="J13" s="72" t="s">
        <v>14</v>
      </c>
      <c r="K13" s="96">
        <f t="shared" si="0"/>
        <v>40.590000000000003</v>
      </c>
      <c r="L13" s="98">
        <f t="shared" si="1"/>
        <v>97.416000000000011</v>
      </c>
    </row>
    <row r="14" spans="1:12" x14ac:dyDescent="0.3">
      <c r="A14" s="72">
        <v>70527</v>
      </c>
      <c r="B14" s="72" t="s">
        <v>77</v>
      </c>
      <c r="C14" s="72" t="s">
        <v>122</v>
      </c>
      <c r="D14" s="72" t="s">
        <v>13</v>
      </c>
      <c r="E14" s="73">
        <v>4</v>
      </c>
      <c r="F14" s="73">
        <v>2.73</v>
      </c>
      <c r="G14" s="73">
        <v>32</v>
      </c>
      <c r="H14" s="74">
        <v>87.36</v>
      </c>
      <c r="I14" s="74">
        <v>48</v>
      </c>
      <c r="J14" s="72" t="s">
        <v>14</v>
      </c>
      <c r="K14" s="96">
        <f t="shared" si="0"/>
        <v>39.49</v>
      </c>
      <c r="L14" s="98">
        <f t="shared" si="1"/>
        <v>94.775999999999996</v>
      </c>
    </row>
    <row r="15" spans="1:12" x14ac:dyDescent="0.3">
      <c r="A15" s="72">
        <v>70532</v>
      </c>
      <c r="B15" s="72" t="s">
        <v>112</v>
      </c>
      <c r="C15" s="72" t="s">
        <v>122</v>
      </c>
      <c r="D15" s="72" t="s">
        <v>13</v>
      </c>
      <c r="E15" s="73">
        <v>4</v>
      </c>
      <c r="F15" s="73">
        <v>2.73</v>
      </c>
      <c r="G15" s="73">
        <v>32</v>
      </c>
      <c r="H15" s="74">
        <v>87.36</v>
      </c>
      <c r="I15" s="74">
        <v>48</v>
      </c>
      <c r="J15" s="72" t="s">
        <v>14</v>
      </c>
      <c r="K15" s="96">
        <f t="shared" si="0"/>
        <v>40.590000000000003</v>
      </c>
      <c r="L15" s="98">
        <f t="shared" si="1"/>
        <v>97.416000000000011</v>
      </c>
    </row>
    <row r="16" spans="1:12" x14ac:dyDescent="0.3">
      <c r="A16" s="72">
        <v>70538</v>
      </c>
      <c r="B16" s="72" t="s">
        <v>179</v>
      </c>
      <c r="C16" s="72" t="s">
        <v>122</v>
      </c>
      <c r="D16" s="72" t="s">
        <v>13</v>
      </c>
      <c r="E16" s="73">
        <v>4</v>
      </c>
      <c r="F16" s="73">
        <v>2.73</v>
      </c>
      <c r="G16" s="73">
        <v>32</v>
      </c>
      <c r="H16" s="74">
        <v>87.36</v>
      </c>
      <c r="I16" s="74">
        <v>48</v>
      </c>
      <c r="J16" s="72" t="s">
        <v>14</v>
      </c>
      <c r="K16" s="96">
        <f t="shared" si="0"/>
        <v>41.69</v>
      </c>
      <c r="L16" s="98">
        <f t="shared" si="1"/>
        <v>100.056</v>
      </c>
    </row>
    <row r="17" spans="1:12" x14ac:dyDescent="0.3">
      <c r="A17" s="72">
        <v>70540</v>
      </c>
      <c r="B17" s="72" t="s">
        <v>180</v>
      </c>
      <c r="C17" s="72" t="s">
        <v>122</v>
      </c>
      <c r="D17" s="72" t="s">
        <v>13</v>
      </c>
      <c r="E17" s="73">
        <v>4</v>
      </c>
      <c r="F17" s="73">
        <v>2.73</v>
      </c>
      <c r="G17" s="73">
        <v>32</v>
      </c>
      <c r="H17" s="74">
        <v>87.36</v>
      </c>
      <c r="I17" s="74">
        <v>48</v>
      </c>
      <c r="J17" s="72" t="s">
        <v>14</v>
      </c>
      <c r="K17" s="96">
        <f t="shared" si="0"/>
        <v>41.69</v>
      </c>
      <c r="L17" s="98">
        <f t="shared" si="1"/>
        <v>100.056</v>
      </c>
    </row>
    <row r="18" spans="1:12" x14ac:dyDescent="0.3">
      <c r="A18" s="72">
        <v>70541</v>
      </c>
      <c r="B18" s="72" t="s">
        <v>194</v>
      </c>
      <c r="C18" s="72" t="s">
        <v>122</v>
      </c>
      <c r="D18" s="72" t="s">
        <v>13</v>
      </c>
      <c r="E18" s="73">
        <v>4</v>
      </c>
      <c r="F18" s="73">
        <v>2.73</v>
      </c>
      <c r="G18" s="73">
        <v>32</v>
      </c>
      <c r="H18" s="74">
        <v>87.36</v>
      </c>
      <c r="I18" s="74">
        <v>48</v>
      </c>
      <c r="J18" s="72" t="s">
        <v>14</v>
      </c>
      <c r="K18" s="96">
        <f t="shared" si="0"/>
        <v>41.69</v>
      </c>
      <c r="L18" s="98">
        <f t="shared" si="1"/>
        <v>100.056</v>
      </c>
    </row>
    <row r="19" spans="1:12" x14ac:dyDescent="0.3">
      <c r="A19" s="72">
        <v>70542</v>
      </c>
      <c r="B19" s="72" t="s">
        <v>195</v>
      </c>
      <c r="C19" s="72" t="s">
        <v>122</v>
      </c>
      <c r="D19" s="72" t="s">
        <v>13</v>
      </c>
      <c r="E19" s="73">
        <v>4</v>
      </c>
      <c r="F19" s="73">
        <v>2.73</v>
      </c>
      <c r="G19" s="73">
        <v>32</v>
      </c>
      <c r="H19" s="74">
        <v>87.36</v>
      </c>
      <c r="I19" s="74">
        <v>48</v>
      </c>
      <c r="J19" s="72" t="s">
        <v>14</v>
      </c>
      <c r="K19" s="96">
        <f t="shared" si="0"/>
        <v>42.79</v>
      </c>
      <c r="L19" s="98">
        <f t="shared" si="1"/>
        <v>102.696</v>
      </c>
    </row>
    <row r="20" spans="1:12" x14ac:dyDescent="0.3">
      <c r="A20" s="72">
        <v>70543</v>
      </c>
      <c r="B20" s="72" t="s">
        <v>218</v>
      </c>
      <c r="C20" s="72" t="s">
        <v>122</v>
      </c>
      <c r="D20" s="72" t="s">
        <v>197</v>
      </c>
      <c r="E20" s="73">
        <v>4</v>
      </c>
      <c r="F20" s="73">
        <v>2.73</v>
      </c>
      <c r="G20" s="73">
        <v>32</v>
      </c>
      <c r="H20" s="74">
        <v>87.36</v>
      </c>
      <c r="I20" s="76">
        <v>48</v>
      </c>
      <c r="J20" s="72" t="s">
        <v>219</v>
      </c>
      <c r="K20" s="96">
        <f t="shared" si="0"/>
        <v>44.99</v>
      </c>
      <c r="L20" s="98">
        <f t="shared" si="1"/>
        <v>107.976</v>
      </c>
    </row>
    <row r="21" spans="1:12" x14ac:dyDescent="0.3">
      <c r="A21" s="82">
        <v>70544</v>
      </c>
      <c r="B21" s="82" t="s">
        <v>278</v>
      </c>
      <c r="C21" s="82" t="s">
        <v>122</v>
      </c>
      <c r="D21" s="82" t="s">
        <v>13</v>
      </c>
      <c r="E21" s="84">
        <v>4</v>
      </c>
      <c r="F21" s="84">
        <v>2.73</v>
      </c>
      <c r="G21" s="84">
        <v>32</v>
      </c>
      <c r="H21" s="89">
        <v>87.36</v>
      </c>
      <c r="I21" s="85">
        <v>48</v>
      </c>
      <c r="J21" s="82" t="s">
        <v>14</v>
      </c>
      <c r="K21" s="97">
        <v>42.79</v>
      </c>
      <c r="L21" s="98">
        <f t="shared" si="1"/>
        <v>102.696</v>
      </c>
    </row>
    <row r="22" spans="1:12" x14ac:dyDescent="0.3">
      <c r="A22" s="82">
        <v>70545</v>
      </c>
      <c r="B22" s="82" t="s">
        <v>279</v>
      </c>
      <c r="C22" s="82" t="s">
        <v>122</v>
      </c>
      <c r="D22" s="82" t="s">
        <v>197</v>
      </c>
      <c r="E22" s="84">
        <v>4</v>
      </c>
      <c r="F22" s="84">
        <v>2.73</v>
      </c>
      <c r="G22" s="84">
        <v>32</v>
      </c>
      <c r="H22" s="89">
        <v>87.36</v>
      </c>
      <c r="I22" s="85">
        <v>48</v>
      </c>
      <c r="J22" s="82" t="s">
        <v>182</v>
      </c>
      <c r="K22" s="97">
        <v>44.99</v>
      </c>
      <c r="L22" s="98">
        <f t="shared" si="1"/>
        <v>107.976</v>
      </c>
    </row>
    <row r="23" spans="1:12" x14ac:dyDescent="0.3">
      <c r="A23" s="72">
        <v>70624</v>
      </c>
      <c r="B23" s="79" t="s">
        <v>24</v>
      </c>
      <c r="C23" s="79" t="s">
        <v>96</v>
      </c>
      <c r="D23" s="79" t="s">
        <v>13</v>
      </c>
      <c r="E23" s="73">
        <v>3</v>
      </c>
      <c r="F23" s="73">
        <v>2.2799999999999998</v>
      </c>
      <c r="G23" s="73">
        <v>28</v>
      </c>
      <c r="H23" s="73">
        <v>63.84</v>
      </c>
      <c r="I23" s="74">
        <v>48</v>
      </c>
      <c r="J23" s="79" t="s">
        <v>14</v>
      </c>
      <c r="K23" s="96">
        <f t="shared" ref="K23:K37" si="2">VLOOKUP(A23,tabelas,2,FALSE)</f>
        <v>46.75</v>
      </c>
      <c r="L23" s="98">
        <f t="shared" si="1"/>
        <v>112.2</v>
      </c>
    </row>
    <row r="24" spans="1:12" x14ac:dyDescent="0.3">
      <c r="A24" s="72">
        <v>70626</v>
      </c>
      <c r="B24" s="79" t="s">
        <v>25</v>
      </c>
      <c r="C24" s="79" t="s">
        <v>96</v>
      </c>
      <c r="D24" s="79" t="s">
        <v>13</v>
      </c>
      <c r="E24" s="73">
        <v>3</v>
      </c>
      <c r="F24" s="73">
        <v>2.2799999999999998</v>
      </c>
      <c r="G24" s="73">
        <v>28</v>
      </c>
      <c r="H24" s="73">
        <v>63.84</v>
      </c>
      <c r="I24" s="74">
        <v>48</v>
      </c>
      <c r="J24" s="79" t="s">
        <v>14</v>
      </c>
      <c r="K24" s="96">
        <f t="shared" si="2"/>
        <v>45.65</v>
      </c>
      <c r="L24" s="98">
        <f t="shared" si="1"/>
        <v>109.55999999999999</v>
      </c>
    </row>
    <row r="25" spans="1:12" x14ac:dyDescent="0.3">
      <c r="A25" s="72">
        <v>70631</v>
      </c>
      <c r="B25" s="73" t="s">
        <v>34</v>
      </c>
      <c r="C25" s="79" t="s">
        <v>100</v>
      </c>
      <c r="D25" s="79" t="s">
        <v>32</v>
      </c>
      <c r="E25" s="73">
        <v>3</v>
      </c>
      <c r="F25" s="74">
        <v>2.2799999999999998</v>
      </c>
      <c r="G25" s="73">
        <v>28</v>
      </c>
      <c r="H25" s="74">
        <v>63.84</v>
      </c>
      <c r="I25" s="74">
        <v>48</v>
      </c>
      <c r="J25" s="79" t="s">
        <v>33</v>
      </c>
      <c r="K25" s="96">
        <f t="shared" si="2"/>
        <v>52.69</v>
      </c>
      <c r="L25" s="98">
        <f t="shared" si="1"/>
        <v>126.45599999999999</v>
      </c>
    </row>
    <row r="26" spans="1:12" x14ac:dyDescent="0.3">
      <c r="A26" s="72">
        <v>70648</v>
      </c>
      <c r="B26" s="80" t="s">
        <v>26</v>
      </c>
      <c r="C26" s="72" t="s">
        <v>96</v>
      </c>
      <c r="D26" s="72" t="s">
        <v>13</v>
      </c>
      <c r="E26" s="73">
        <v>3</v>
      </c>
      <c r="F26" s="73">
        <v>2.2799999999999998</v>
      </c>
      <c r="G26" s="73">
        <v>28</v>
      </c>
      <c r="H26" s="73">
        <v>63.84</v>
      </c>
      <c r="I26" s="74">
        <v>48</v>
      </c>
      <c r="J26" s="72" t="s">
        <v>14</v>
      </c>
      <c r="K26" s="96">
        <f t="shared" si="2"/>
        <v>47.85</v>
      </c>
      <c r="L26" s="98">
        <f t="shared" si="1"/>
        <v>114.84</v>
      </c>
    </row>
    <row r="27" spans="1:12" x14ac:dyDescent="0.3">
      <c r="A27" s="72">
        <v>70649</v>
      </c>
      <c r="B27" s="72" t="s">
        <v>35</v>
      </c>
      <c r="C27" s="72" t="s">
        <v>100</v>
      </c>
      <c r="D27" s="79" t="s">
        <v>32</v>
      </c>
      <c r="E27" s="73">
        <v>3</v>
      </c>
      <c r="F27" s="73">
        <v>2.2799999999999998</v>
      </c>
      <c r="G27" s="73">
        <v>28</v>
      </c>
      <c r="H27" s="73">
        <v>63.84</v>
      </c>
      <c r="I27" s="74">
        <v>48</v>
      </c>
      <c r="J27" s="72" t="s">
        <v>33</v>
      </c>
      <c r="K27" s="96">
        <f t="shared" si="2"/>
        <v>58.19</v>
      </c>
      <c r="L27" s="98">
        <f t="shared" si="1"/>
        <v>139.65599999999998</v>
      </c>
    </row>
    <row r="28" spans="1:12" x14ac:dyDescent="0.3">
      <c r="A28" s="72">
        <v>70652</v>
      </c>
      <c r="B28" s="80" t="s">
        <v>27</v>
      </c>
      <c r="C28" s="72" t="s">
        <v>96</v>
      </c>
      <c r="D28" s="72" t="s">
        <v>13</v>
      </c>
      <c r="E28" s="73">
        <v>3</v>
      </c>
      <c r="F28" s="73">
        <v>2.2799999999999998</v>
      </c>
      <c r="G28" s="73">
        <v>28</v>
      </c>
      <c r="H28" s="73">
        <v>63.84</v>
      </c>
      <c r="I28" s="74">
        <v>48</v>
      </c>
      <c r="J28" s="72" t="s">
        <v>14</v>
      </c>
      <c r="K28" s="96">
        <f t="shared" si="2"/>
        <v>45.65</v>
      </c>
      <c r="L28" s="98">
        <f t="shared" si="1"/>
        <v>109.55999999999999</v>
      </c>
    </row>
    <row r="29" spans="1:12" x14ac:dyDescent="0.3">
      <c r="A29" s="72">
        <v>70653</v>
      </c>
      <c r="B29" s="80" t="s">
        <v>28</v>
      </c>
      <c r="C29" s="72" t="s">
        <v>96</v>
      </c>
      <c r="D29" s="72" t="s">
        <v>13</v>
      </c>
      <c r="E29" s="73">
        <v>3</v>
      </c>
      <c r="F29" s="73">
        <v>2.2799999999999998</v>
      </c>
      <c r="G29" s="73">
        <v>28</v>
      </c>
      <c r="H29" s="73">
        <v>63.84</v>
      </c>
      <c r="I29" s="74">
        <v>48</v>
      </c>
      <c r="J29" s="72" t="s">
        <v>14</v>
      </c>
      <c r="K29" s="96">
        <f t="shared" si="2"/>
        <v>45.65</v>
      </c>
      <c r="L29" s="98">
        <f t="shared" si="1"/>
        <v>109.55999999999999</v>
      </c>
    </row>
    <row r="30" spans="1:12" x14ac:dyDescent="0.3">
      <c r="A30" s="72">
        <v>70654</v>
      </c>
      <c r="B30" s="80" t="s">
        <v>29</v>
      </c>
      <c r="C30" s="72" t="s">
        <v>96</v>
      </c>
      <c r="D30" s="72" t="s">
        <v>16</v>
      </c>
      <c r="E30" s="73">
        <v>3</v>
      </c>
      <c r="F30" s="73">
        <v>2.2799999999999998</v>
      </c>
      <c r="G30" s="73">
        <v>28</v>
      </c>
      <c r="H30" s="73">
        <v>63.84</v>
      </c>
      <c r="I30" s="74">
        <v>48</v>
      </c>
      <c r="J30" s="72" t="s">
        <v>17</v>
      </c>
      <c r="K30" s="96">
        <f t="shared" si="2"/>
        <v>46.75</v>
      </c>
      <c r="L30" s="98">
        <f t="shared" si="1"/>
        <v>112.2</v>
      </c>
    </row>
    <row r="31" spans="1:12" x14ac:dyDescent="0.3">
      <c r="A31" s="72">
        <v>70657</v>
      </c>
      <c r="B31" s="80" t="s">
        <v>30</v>
      </c>
      <c r="C31" s="72" t="s">
        <v>96</v>
      </c>
      <c r="D31" s="72" t="s">
        <v>13</v>
      </c>
      <c r="E31" s="73">
        <v>3</v>
      </c>
      <c r="F31" s="73">
        <v>2.2799999999999998</v>
      </c>
      <c r="G31" s="73">
        <v>28</v>
      </c>
      <c r="H31" s="73">
        <v>63.84</v>
      </c>
      <c r="I31" s="74">
        <v>48</v>
      </c>
      <c r="J31" s="72" t="s">
        <v>14</v>
      </c>
      <c r="K31" s="96">
        <f t="shared" si="2"/>
        <v>46.75</v>
      </c>
      <c r="L31" s="98">
        <f t="shared" si="1"/>
        <v>112.2</v>
      </c>
    </row>
    <row r="32" spans="1:12" x14ac:dyDescent="0.3">
      <c r="A32" s="72">
        <v>70674</v>
      </c>
      <c r="B32" s="80" t="s">
        <v>169</v>
      </c>
      <c r="C32" s="72" t="s">
        <v>96</v>
      </c>
      <c r="D32" s="72" t="s">
        <v>13</v>
      </c>
      <c r="E32" s="73">
        <v>3</v>
      </c>
      <c r="F32" s="73">
        <v>2.2799999999999998</v>
      </c>
      <c r="G32" s="73">
        <v>28</v>
      </c>
      <c r="H32" s="73">
        <v>63.84</v>
      </c>
      <c r="I32" s="74">
        <v>48</v>
      </c>
      <c r="J32" s="72" t="s">
        <v>41</v>
      </c>
      <c r="K32" s="96">
        <f t="shared" si="2"/>
        <v>50.49</v>
      </c>
      <c r="L32" s="98">
        <f t="shared" si="1"/>
        <v>121.176</v>
      </c>
    </row>
    <row r="33" spans="1:12" x14ac:dyDescent="0.3">
      <c r="A33" s="72">
        <v>70676</v>
      </c>
      <c r="B33" s="80" t="s">
        <v>185</v>
      </c>
      <c r="C33" s="72" t="s">
        <v>96</v>
      </c>
      <c r="D33" s="72" t="s">
        <v>13</v>
      </c>
      <c r="E33" s="73">
        <v>3</v>
      </c>
      <c r="F33" s="73">
        <v>2.2799999999999998</v>
      </c>
      <c r="G33" s="73">
        <v>28</v>
      </c>
      <c r="H33" s="73">
        <v>63.84</v>
      </c>
      <c r="I33" s="74">
        <v>48</v>
      </c>
      <c r="J33" s="72" t="s">
        <v>14</v>
      </c>
      <c r="K33" s="96">
        <f t="shared" si="2"/>
        <v>47.85</v>
      </c>
      <c r="L33" s="98">
        <f t="shared" si="1"/>
        <v>114.84</v>
      </c>
    </row>
    <row r="34" spans="1:12" x14ac:dyDescent="0.3">
      <c r="A34" s="72">
        <v>70682</v>
      </c>
      <c r="B34" s="72" t="s">
        <v>204</v>
      </c>
      <c r="C34" s="72" t="s">
        <v>100</v>
      </c>
      <c r="D34" s="79" t="s">
        <v>205</v>
      </c>
      <c r="E34" s="73">
        <v>3</v>
      </c>
      <c r="F34" s="73">
        <v>2.2799999999999998</v>
      </c>
      <c r="G34" s="73">
        <v>28</v>
      </c>
      <c r="H34" s="73">
        <v>63.84</v>
      </c>
      <c r="I34" s="76">
        <v>48</v>
      </c>
      <c r="J34" s="72" t="s">
        <v>14</v>
      </c>
      <c r="K34" s="96">
        <f t="shared" si="2"/>
        <v>65.89</v>
      </c>
      <c r="L34" s="98">
        <f t="shared" si="1"/>
        <v>158.136</v>
      </c>
    </row>
    <row r="35" spans="1:12" x14ac:dyDescent="0.3">
      <c r="A35" s="72">
        <v>70683</v>
      </c>
      <c r="B35" s="72" t="s">
        <v>206</v>
      </c>
      <c r="C35" s="72" t="s">
        <v>100</v>
      </c>
      <c r="D35" s="79" t="s">
        <v>205</v>
      </c>
      <c r="E35" s="73">
        <v>3</v>
      </c>
      <c r="F35" s="73">
        <v>2.2799999999999998</v>
      </c>
      <c r="G35" s="73">
        <v>28</v>
      </c>
      <c r="H35" s="73">
        <v>63.84</v>
      </c>
      <c r="I35" s="76">
        <v>48</v>
      </c>
      <c r="J35" s="72" t="s">
        <v>14</v>
      </c>
      <c r="K35" s="96">
        <f t="shared" si="2"/>
        <v>65.89</v>
      </c>
      <c r="L35" s="98">
        <f t="shared" si="1"/>
        <v>158.136</v>
      </c>
    </row>
    <row r="36" spans="1:12" x14ac:dyDescent="0.3">
      <c r="A36" s="72">
        <v>70684</v>
      </c>
      <c r="B36" s="72" t="s">
        <v>202</v>
      </c>
      <c r="C36" s="72" t="s">
        <v>96</v>
      </c>
      <c r="D36" s="72" t="s">
        <v>199</v>
      </c>
      <c r="E36" s="72">
        <v>3</v>
      </c>
      <c r="F36" s="72">
        <v>2.2799999999999998</v>
      </c>
      <c r="G36" s="72">
        <v>28</v>
      </c>
      <c r="H36" s="72">
        <v>63.84</v>
      </c>
      <c r="I36" s="81">
        <v>48</v>
      </c>
      <c r="J36" s="72" t="s">
        <v>14</v>
      </c>
      <c r="K36" s="96">
        <f t="shared" si="2"/>
        <v>55.99</v>
      </c>
      <c r="L36" s="98">
        <f t="shared" si="1"/>
        <v>134.376</v>
      </c>
    </row>
    <row r="37" spans="1:12" x14ac:dyDescent="0.3">
      <c r="A37" s="72">
        <v>70687</v>
      </c>
      <c r="B37" s="72" t="s">
        <v>203</v>
      </c>
      <c r="C37" s="72" t="s">
        <v>96</v>
      </c>
      <c r="D37" s="79" t="s">
        <v>201</v>
      </c>
      <c r="E37" s="73">
        <v>3</v>
      </c>
      <c r="F37" s="73">
        <v>2.2799999999999998</v>
      </c>
      <c r="G37" s="73">
        <v>28</v>
      </c>
      <c r="H37" s="73">
        <v>63.84</v>
      </c>
      <c r="I37" s="76">
        <v>48</v>
      </c>
      <c r="J37" s="72" t="s">
        <v>41</v>
      </c>
      <c r="K37" s="96">
        <f t="shared" si="2"/>
        <v>62.59</v>
      </c>
      <c r="L37" s="98">
        <f t="shared" si="1"/>
        <v>150.21600000000001</v>
      </c>
    </row>
    <row r="38" spans="1:12" x14ac:dyDescent="0.3">
      <c r="A38" s="82">
        <v>70689</v>
      </c>
      <c r="B38" s="82" t="s">
        <v>273</v>
      </c>
      <c r="C38" s="82" t="s">
        <v>96</v>
      </c>
      <c r="D38" s="83" t="s">
        <v>13</v>
      </c>
      <c r="E38" s="84">
        <v>3</v>
      </c>
      <c r="F38" s="84">
        <v>2.2799999999999998</v>
      </c>
      <c r="G38" s="84">
        <v>28</v>
      </c>
      <c r="H38" s="84">
        <v>63.84</v>
      </c>
      <c r="I38" s="85">
        <v>48</v>
      </c>
      <c r="J38" s="82" t="s">
        <v>14</v>
      </c>
      <c r="K38" s="97">
        <v>47.190000000000005</v>
      </c>
      <c r="L38" s="98">
        <f t="shared" ref="L38:L69" si="3">K38*2.4</f>
        <v>113.25600000000001</v>
      </c>
    </row>
    <row r="39" spans="1:12" x14ac:dyDescent="0.3">
      <c r="A39" s="82">
        <v>70691</v>
      </c>
      <c r="B39" s="82" t="s">
        <v>274</v>
      </c>
      <c r="C39" s="82" t="s">
        <v>96</v>
      </c>
      <c r="D39" s="83" t="s">
        <v>199</v>
      </c>
      <c r="E39" s="84">
        <v>3</v>
      </c>
      <c r="F39" s="84">
        <v>2.2799999999999998</v>
      </c>
      <c r="G39" s="84">
        <v>28</v>
      </c>
      <c r="H39" s="84">
        <v>63.84</v>
      </c>
      <c r="I39" s="85">
        <v>48</v>
      </c>
      <c r="J39" s="82" t="s">
        <v>41</v>
      </c>
      <c r="K39" s="97">
        <v>55.99</v>
      </c>
      <c r="L39" s="98">
        <f t="shared" si="3"/>
        <v>134.376</v>
      </c>
    </row>
    <row r="40" spans="1:12" x14ac:dyDescent="0.3">
      <c r="A40" s="82">
        <v>70692</v>
      </c>
      <c r="B40" s="82" t="s">
        <v>275</v>
      </c>
      <c r="C40" s="82" t="s">
        <v>96</v>
      </c>
      <c r="D40" s="83" t="s">
        <v>199</v>
      </c>
      <c r="E40" s="84">
        <v>3</v>
      </c>
      <c r="F40" s="84">
        <v>2.2799999999999998</v>
      </c>
      <c r="G40" s="84">
        <v>28</v>
      </c>
      <c r="H40" s="84">
        <v>63.84</v>
      </c>
      <c r="I40" s="85">
        <v>48</v>
      </c>
      <c r="J40" s="82" t="s">
        <v>41</v>
      </c>
      <c r="K40" s="97">
        <v>55.99</v>
      </c>
      <c r="L40" s="98">
        <f t="shared" si="3"/>
        <v>134.376</v>
      </c>
    </row>
    <row r="41" spans="1:12" x14ac:dyDescent="0.3">
      <c r="A41" s="72">
        <v>70706</v>
      </c>
      <c r="B41" s="72" t="s">
        <v>21</v>
      </c>
      <c r="C41" s="72" t="s">
        <v>19</v>
      </c>
      <c r="D41" s="72" t="s">
        <v>13</v>
      </c>
      <c r="E41" s="73">
        <v>6</v>
      </c>
      <c r="F41" s="73">
        <v>1.49</v>
      </c>
      <c r="G41" s="73">
        <v>48</v>
      </c>
      <c r="H41" s="73">
        <v>71.52</v>
      </c>
      <c r="I41" s="74">
        <v>30</v>
      </c>
      <c r="J41" s="72" t="s">
        <v>14</v>
      </c>
      <c r="K41" s="96">
        <f t="shared" ref="K41:K70" si="4">VLOOKUP(A41,tabelas,2,FALSE)</f>
        <v>49.39</v>
      </c>
      <c r="L41" s="98">
        <f t="shared" si="3"/>
        <v>118.536</v>
      </c>
    </row>
    <row r="42" spans="1:12" x14ac:dyDescent="0.3">
      <c r="A42" s="75">
        <v>70721</v>
      </c>
      <c r="B42" s="75" t="s">
        <v>22</v>
      </c>
      <c r="C42" s="75" t="s">
        <v>121</v>
      </c>
      <c r="D42" s="75" t="s">
        <v>20</v>
      </c>
      <c r="E42" s="77">
        <v>6</v>
      </c>
      <c r="F42" s="77">
        <v>1.47</v>
      </c>
      <c r="G42" s="77">
        <v>48</v>
      </c>
      <c r="H42" s="77">
        <v>70.56</v>
      </c>
      <c r="I42" s="78">
        <v>30</v>
      </c>
      <c r="J42" s="75" t="s">
        <v>14</v>
      </c>
      <c r="K42" s="96">
        <f t="shared" si="4"/>
        <v>49.39</v>
      </c>
      <c r="L42" s="98">
        <f t="shared" si="3"/>
        <v>118.536</v>
      </c>
    </row>
    <row r="43" spans="1:12" x14ac:dyDescent="0.3">
      <c r="A43" s="75">
        <v>70726</v>
      </c>
      <c r="B43" s="75" t="s">
        <v>97</v>
      </c>
      <c r="C43" s="75" t="s">
        <v>19</v>
      </c>
      <c r="D43" s="75" t="s">
        <v>13</v>
      </c>
      <c r="E43" s="77">
        <v>6</v>
      </c>
      <c r="F43" s="77">
        <v>1.49</v>
      </c>
      <c r="G43" s="77">
        <v>48</v>
      </c>
      <c r="H43" s="77">
        <v>71.52</v>
      </c>
      <c r="I43" s="78">
        <v>30</v>
      </c>
      <c r="J43" s="75" t="s">
        <v>14</v>
      </c>
      <c r="K43" s="96">
        <f t="shared" si="4"/>
        <v>47.19</v>
      </c>
      <c r="L43" s="98">
        <f t="shared" si="3"/>
        <v>113.25599999999999</v>
      </c>
    </row>
    <row r="44" spans="1:12" x14ac:dyDescent="0.3">
      <c r="A44" s="75">
        <v>70736</v>
      </c>
      <c r="B44" s="75" t="s">
        <v>98</v>
      </c>
      <c r="C44" s="75" t="s">
        <v>19</v>
      </c>
      <c r="D44" s="75" t="s">
        <v>13</v>
      </c>
      <c r="E44" s="77">
        <v>6</v>
      </c>
      <c r="F44" s="77">
        <v>1.49</v>
      </c>
      <c r="G44" s="77">
        <v>48</v>
      </c>
      <c r="H44" s="77">
        <v>71.52</v>
      </c>
      <c r="I44" s="78">
        <v>30</v>
      </c>
      <c r="J44" s="75" t="s">
        <v>14</v>
      </c>
      <c r="K44" s="96">
        <f t="shared" si="4"/>
        <v>47.19</v>
      </c>
      <c r="L44" s="98">
        <f t="shared" si="3"/>
        <v>113.25599999999999</v>
      </c>
    </row>
    <row r="45" spans="1:12" x14ac:dyDescent="0.3">
      <c r="A45" s="75">
        <v>70737</v>
      </c>
      <c r="B45" s="75" t="s">
        <v>99</v>
      </c>
      <c r="C45" s="75" t="s">
        <v>121</v>
      </c>
      <c r="D45" s="75" t="s">
        <v>13</v>
      </c>
      <c r="E45" s="77">
        <v>6</v>
      </c>
      <c r="F45" s="77">
        <v>1.47</v>
      </c>
      <c r="G45" s="77">
        <v>48</v>
      </c>
      <c r="H45" s="77">
        <v>70.56</v>
      </c>
      <c r="I45" s="78">
        <v>30</v>
      </c>
      <c r="J45" s="75" t="s">
        <v>14</v>
      </c>
      <c r="K45" s="96">
        <f t="shared" si="4"/>
        <v>47.19</v>
      </c>
      <c r="L45" s="98">
        <f t="shared" si="3"/>
        <v>113.25599999999999</v>
      </c>
    </row>
    <row r="46" spans="1:12" x14ac:dyDescent="0.3">
      <c r="A46" s="75">
        <v>70740</v>
      </c>
      <c r="B46" s="75" t="s">
        <v>191</v>
      </c>
      <c r="C46" s="75" t="s">
        <v>121</v>
      </c>
      <c r="D46" s="75" t="s">
        <v>13</v>
      </c>
      <c r="E46" s="77">
        <v>6</v>
      </c>
      <c r="F46" s="77">
        <v>1.47</v>
      </c>
      <c r="G46" s="77">
        <v>48</v>
      </c>
      <c r="H46" s="77">
        <v>70.56</v>
      </c>
      <c r="I46" s="78">
        <v>30</v>
      </c>
      <c r="J46" s="75" t="s">
        <v>14</v>
      </c>
      <c r="K46" s="96">
        <f t="shared" si="4"/>
        <v>49.39</v>
      </c>
      <c r="L46" s="98">
        <f t="shared" si="3"/>
        <v>118.536</v>
      </c>
    </row>
    <row r="47" spans="1:12" x14ac:dyDescent="0.3">
      <c r="A47" s="75">
        <v>70741</v>
      </c>
      <c r="B47" s="75" t="s">
        <v>192</v>
      </c>
      <c r="C47" s="75" t="s">
        <v>121</v>
      </c>
      <c r="D47" s="75" t="s">
        <v>13</v>
      </c>
      <c r="E47" s="77">
        <v>6</v>
      </c>
      <c r="F47" s="77">
        <v>1.47</v>
      </c>
      <c r="G47" s="77">
        <v>48</v>
      </c>
      <c r="H47" s="77">
        <v>70.56</v>
      </c>
      <c r="I47" s="78">
        <v>30</v>
      </c>
      <c r="J47" s="75" t="s">
        <v>14</v>
      </c>
      <c r="K47" s="96">
        <f t="shared" si="4"/>
        <v>49.39</v>
      </c>
      <c r="L47" s="98">
        <f t="shared" si="3"/>
        <v>118.536</v>
      </c>
    </row>
    <row r="48" spans="1:12" x14ac:dyDescent="0.3">
      <c r="A48" s="75">
        <v>70742</v>
      </c>
      <c r="B48" s="75" t="s">
        <v>193</v>
      </c>
      <c r="C48" s="75" t="s">
        <v>121</v>
      </c>
      <c r="D48" s="75" t="s">
        <v>13</v>
      </c>
      <c r="E48" s="77">
        <v>6</v>
      </c>
      <c r="F48" s="77">
        <v>1.47</v>
      </c>
      <c r="G48" s="77">
        <v>48</v>
      </c>
      <c r="H48" s="77">
        <v>70.56</v>
      </c>
      <c r="I48" s="78">
        <v>30</v>
      </c>
      <c r="J48" s="75" t="s">
        <v>14</v>
      </c>
      <c r="K48" s="96">
        <f t="shared" si="4"/>
        <v>47.19</v>
      </c>
      <c r="L48" s="98">
        <f t="shared" si="3"/>
        <v>113.25599999999999</v>
      </c>
    </row>
    <row r="49" spans="1:12" x14ac:dyDescent="0.3">
      <c r="A49" s="75">
        <v>70743</v>
      </c>
      <c r="B49" s="75" t="s">
        <v>183</v>
      </c>
      <c r="C49" s="75" t="s">
        <v>121</v>
      </c>
      <c r="D49" s="75" t="s">
        <v>248</v>
      </c>
      <c r="E49" s="77">
        <v>6</v>
      </c>
      <c r="F49" s="77">
        <v>1.47</v>
      </c>
      <c r="G49" s="77">
        <v>48</v>
      </c>
      <c r="H49" s="77">
        <v>70.56</v>
      </c>
      <c r="I49" s="78">
        <v>30</v>
      </c>
      <c r="J49" s="75" t="s">
        <v>247</v>
      </c>
      <c r="K49" s="96">
        <f t="shared" si="4"/>
        <v>57.09</v>
      </c>
      <c r="L49" s="98">
        <f t="shared" si="3"/>
        <v>137.01599999999999</v>
      </c>
    </row>
    <row r="50" spans="1:12" x14ac:dyDescent="0.3">
      <c r="A50" s="75">
        <v>70744</v>
      </c>
      <c r="B50" s="75" t="s">
        <v>184</v>
      </c>
      <c r="C50" s="75" t="s">
        <v>121</v>
      </c>
      <c r="D50" s="75" t="s">
        <v>248</v>
      </c>
      <c r="E50" s="77">
        <v>6</v>
      </c>
      <c r="F50" s="77">
        <v>1.47</v>
      </c>
      <c r="G50" s="77">
        <v>48</v>
      </c>
      <c r="H50" s="77">
        <v>70.56</v>
      </c>
      <c r="I50" s="78">
        <v>30</v>
      </c>
      <c r="J50" s="75" t="s">
        <v>182</v>
      </c>
      <c r="K50" s="96">
        <f t="shared" si="4"/>
        <v>50.49</v>
      </c>
      <c r="L50" s="98">
        <f t="shared" si="3"/>
        <v>121.176</v>
      </c>
    </row>
    <row r="51" spans="1:12" x14ac:dyDescent="0.3">
      <c r="A51" s="72">
        <v>71400</v>
      </c>
      <c r="B51" s="72" t="s">
        <v>113</v>
      </c>
      <c r="C51" s="72" t="s">
        <v>170</v>
      </c>
      <c r="D51" s="72" t="s">
        <v>13</v>
      </c>
      <c r="E51" s="86">
        <v>5</v>
      </c>
      <c r="F51" s="86">
        <v>2.52</v>
      </c>
      <c r="G51" s="86">
        <v>32</v>
      </c>
      <c r="H51" s="86">
        <v>80.64</v>
      </c>
      <c r="I51" s="90">
        <v>40</v>
      </c>
      <c r="J51" s="72" t="s">
        <v>14</v>
      </c>
      <c r="K51" s="96">
        <f t="shared" si="4"/>
        <v>36.19</v>
      </c>
      <c r="L51" s="98">
        <f t="shared" si="3"/>
        <v>86.855999999999995</v>
      </c>
    </row>
    <row r="52" spans="1:12" x14ac:dyDescent="0.3">
      <c r="A52" s="72">
        <v>71401</v>
      </c>
      <c r="B52" s="72" t="s">
        <v>114</v>
      </c>
      <c r="C52" s="72" t="s">
        <v>170</v>
      </c>
      <c r="D52" s="72" t="s">
        <v>16</v>
      </c>
      <c r="E52" s="86">
        <v>5</v>
      </c>
      <c r="F52" s="86">
        <v>2.52</v>
      </c>
      <c r="G52" s="86">
        <v>32</v>
      </c>
      <c r="H52" s="86">
        <v>80.64</v>
      </c>
      <c r="I52" s="90">
        <v>40</v>
      </c>
      <c r="J52" s="72" t="s">
        <v>17</v>
      </c>
      <c r="K52" s="96">
        <f t="shared" si="4"/>
        <v>38.39</v>
      </c>
      <c r="L52" s="98">
        <f t="shared" si="3"/>
        <v>92.135999999999996</v>
      </c>
    </row>
    <row r="53" spans="1:12" x14ac:dyDescent="0.3">
      <c r="A53" s="72">
        <v>71402</v>
      </c>
      <c r="B53" s="72" t="s">
        <v>118</v>
      </c>
      <c r="C53" s="72" t="s">
        <v>170</v>
      </c>
      <c r="D53" s="72" t="s">
        <v>13</v>
      </c>
      <c r="E53" s="86">
        <v>5</v>
      </c>
      <c r="F53" s="86">
        <v>2.52</v>
      </c>
      <c r="G53" s="86">
        <v>32</v>
      </c>
      <c r="H53" s="86">
        <v>80.64</v>
      </c>
      <c r="I53" s="90">
        <v>40</v>
      </c>
      <c r="J53" s="72" t="s">
        <v>14</v>
      </c>
      <c r="K53" s="96">
        <f t="shared" si="4"/>
        <v>35.090000000000003</v>
      </c>
      <c r="L53" s="98">
        <f t="shared" si="3"/>
        <v>84.216000000000008</v>
      </c>
    </row>
    <row r="54" spans="1:12" x14ac:dyDescent="0.3">
      <c r="A54" s="72">
        <v>71404</v>
      </c>
      <c r="B54" s="72" t="s">
        <v>115</v>
      </c>
      <c r="C54" s="72" t="s">
        <v>170</v>
      </c>
      <c r="D54" s="72" t="s">
        <v>16</v>
      </c>
      <c r="E54" s="86">
        <v>5</v>
      </c>
      <c r="F54" s="86">
        <v>2.52</v>
      </c>
      <c r="G54" s="86">
        <v>32</v>
      </c>
      <c r="H54" s="86">
        <v>80.64</v>
      </c>
      <c r="I54" s="90">
        <v>40</v>
      </c>
      <c r="J54" s="72" t="s">
        <v>17</v>
      </c>
      <c r="K54" s="96">
        <f t="shared" si="4"/>
        <v>38.39</v>
      </c>
      <c r="L54" s="98">
        <f t="shared" si="3"/>
        <v>92.135999999999996</v>
      </c>
    </row>
    <row r="55" spans="1:12" x14ac:dyDescent="0.3">
      <c r="A55" s="72">
        <v>71405</v>
      </c>
      <c r="B55" s="72" t="s">
        <v>119</v>
      </c>
      <c r="C55" s="72" t="s">
        <v>170</v>
      </c>
      <c r="D55" s="72" t="s">
        <v>13</v>
      </c>
      <c r="E55" s="86">
        <v>5</v>
      </c>
      <c r="F55" s="86">
        <v>2.52</v>
      </c>
      <c r="G55" s="86">
        <v>32</v>
      </c>
      <c r="H55" s="86">
        <v>80.64</v>
      </c>
      <c r="I55" s="90">
        <v>40</v>
      </c>
      <c r="J55" s="72" t="s">
        <v>14</v>
      </c>
      <c r="K55" s="96">
        <f t="shared" si="4"/>
        <v>36.19</v>
      </c>
      <c r="L55" s="98">
        <f t="shared" si="3"/>
        <v>86.855999999999995</v>
      </c>
    </row>
    <row r="56" spans="1:12" x14ac:dyDescent="0.3">
      <c r="A56" s="72">
        <v>71407</v>
      </c>
      <c r="B56" s="72" t="s">
        <v>226</v>
      </c>
      <c r="C56" s="72" t="s">
        <v>170</v>
      </c>
      <c r="D56" s="72" t="s">
        <v>13</v>
      </c>
      <c r="E56" s="72">
        <v>5</v>
      </c>
      <c r="F56" s="72">
        <v>2.52</v>
      </c>
      <c r="G56" s="72">
        <v>32</v>
      </c>
      <c r="H56" s="72">
        <v>80.64</v>
      </c>
      <c r="I56" s="79">
        <v>40</v>
      </c>
      <c r="J56" s="72" t="s">
        <v>14</v>
      </c>
      <c r="K56" s="96">
        <f t="shared" si="4"/>
        <v>36.19</v>
      </c>
      <c r="L56" s="98">
        <f t="shared" si="3"/>
        <v>86.855999999999995</v>
      </c>
    </row>
    <row r="57" spans="1:12" x14ac:dyDescent="0.3">
      <c r="A57" s="72">
        <v>71408</v>
      </c>
      <c r="B57" s="72" t="s">
        <v>249</v>
      </c>
      <c r="C57" s="72" t="s">
        <v>170</v>
      </c>
      <c r="D57" s="72" t="s">
        <v>13</v>
      </c>
      <c r="E57" s="72">
        <v>5</v>
      </c>
      <c r="F57" s="72">
        <v>2.52</v>
      </c>
      <c r="G57" s="72">
        <v>32</v>
      </c>
      <c r="H57" s="72">
        <v>80.64</v>
      </c>
      <c r="I57" s="79">
        <v>40</v>
      </c>
      <c r="J57" s="72" t="s">
        <v>14</v>
      </c>
      <c r="K57" s="96">
        <f t="shared" si="4"/>
        <v>35.090000000000003</v>
      </c>
      <c r="L57" s="98">
        <f t="shared" si="3"/>
        <v>84.216000000000008</v>
      </c>
    </row>
    <row r="58" spans="1:12" x14ac:dyDescent="0.3">
      <c r="A58" s="72">
        <v>71409</v>
      </c>
      <c r="B58" s="72" t="s">
        <v>250</v>
      </c>
      <c r="C58" s="72" t="s">
        <v>170</v>
      </c>
      <c r="D58" s="72" t="s">
        <v>255</v>
      </c>
      <c r="E58" s="72">
        <v>5</v>
      </c>
      <c r="F58" s="72">
        <v>2.52</v>
      </c>
      <c r="G58" s="72">
        <v>32</v>
      </c>
      <c r="H58" s="72">
        <v>80.64</v>
      </c>
      <c r="I58" s="79">
        <v>40</v>
      </c>
      <c r="J58" s="72" t="s">
        <v>219</v>
      </c>
      <c r="K58" s="96">
        <f t="shared" si="4"/>
        <v>37.29</v>
      </c>
      <c r="L58" s="98">
        <f t="shared" si="3"/>
        <v>89.495999999999995</v>
      </c>
    </row>
    <row r="59" spans="1:12" x14ac:dyDescent="0.3">
      <c r="A59" s="72">
        <v>71410</v>
      </c>
      <c r="B59" s="72" t="s">
        <v>251</v>
      </c>
      <c r="C59" s="72" t="s">
        <v>170</v>
      </c>
      <c r="D59" s="72" t="s">
        <v>13</v>
      </c>
      <c r="E59" s="72">
        <v>5</v>
      </c>
      <c r="F59" s="72">
        <v>2.52</v>
      </c>
      <c r="G59" s="72">
        <v>32</v>
      </c>
      <c r="H59" s="72">
        <v>80.64</v>
      </c>
      <c r="I59" s="79">
        <v>40</v>
      </c>
      <c r="J59" s="72" t="s">
        <v>14</v>
      </c>
      <c r="K59" s="96">
        <f t="shared" si="4"/>
        <v>35.090000000000003</v>
      </c>
      <c r="L59" s="98">
        <f t="shared" si="3"/>
        <v>84.216000000000008</v>
      </c>
    </row>
    <row r="60" spans="1:12" x14ac:dyDescent="0.3">
      <c r="A60" s="72">
        <v>71411</v>
      </c>
      <c r="B60" s="72" t="s">
        <v>252</v>
      </c>
      <c r="C60" s="72" t="s">
        <v>170</v>
      </c>
      <c r="D60" s="72" t="s">
        <v>255</v>
      </c>
      <c r="E60" s="72">
        <v>5</v>
      </c>
      <c r="F60" s="72">
        <v>2.52</v>
      </c>
      <c r="G60" s="72">
        <v>32</v>
      </c>
      <c r="H60" s="72">
        <v>80.64</v>
      </c>
      <c r="I60" s="79">
        <v>40</v>
      </c>
      <c r="J60" s="72" t="s">
        <v>255</v>
      </c>
      <c r="K60" s="96">
        <f t="shared" si="4"/>
        <v>37.29</v>
      </c>
      <c r="L60" s="98">
        <f t="shared" si="3"/>
        <v>89.495999999999995</v>
      </c>
    </row>
    <row r="61" spans="1:12" x14ac:dyDescent="0.3">
      <c r="A61" s="72">
        <v>71412</v>
      </c>
      <c r="B61" s="72" t="s">
        <v>253</v>
      </c>
      <c r="C61" s="72" t="s">
        <v>170</v>
      </c>
      <c r="D61" s="72" t="s">
        <v>13</v>
      </c>
      <c r="E61" s="72">
        <v>5</v>
      </c>
      <c r="F61" s="72">
        <v>2.52</v>
      </c>
      <c r="G61" s="72">
        <v>32</v>
      </c>
      <c r="H61" s="72">
        <v>80.64</v>
      </c>
      <c r="I61" s="79">
        <v>40</v>
      </c>
      <c r="J61" s="72" t="s">
        <v>14</v>
      </c>
      <c r="K61" s="96">
        <f t="shared" si="4"/>
        <v>35.090000000000003</v>
      </c>
      <c r="L61" s="98">
        <f t="shared" si="3"/>
        <v>84.216000000000008</v>
      </c>
    </row>
    <row r="62" spans="1:12" x14ac:dyDescent="0.3">
      <c r="A62" s="72">
        <v>71413</v>
      </c>
      <c r="B62" s="72" t="s">
        <v>254</v>
      </c>
      <c r="C62" s="72" t="s">
        <v>170</v>
      </c>
      <c r="D62" s="72" t="s">
        <v>255</v>
      </c>
      <c r="E62" s="72">
        <v>5</v>
      </c>
      <c r="F62" s="72">
        <v>2.52</v>
      </c>
      <c r="G62" s="72">
        <v>32</v>
      </c>
      <c r="H62" s="72">
        <v>80.64</v>
      </c>
      <c r="I62" s="79">
        <v>40</v>
      </c>
      <c r="J62" s="72" t="s">
        <v>255</v>
      </c>
      <c r="K62" s="96">
        <f t="shared" si="4"/>
        <v>37.29</v>
      </c>
      <c r="L62" s="98">
        <f t="shared" si="3"/>
        <v>89.495999999999995</v>
      </c>
    </row>
    <row r="63" spans="1:12" x14ac:dyDescent="0.3">
      <c r="A63" s="72">
        <v>73000</v>
      </c>
      <c r="B63" s="72" t="s">
        <v>90</v>
      </c>
      <c r="C63" s="72" t="s">
        <v>91</v>
      </c>
      <c r="D63" s="72" t="s">
        <v>13</v>
      </c>
      <c r="E63" s="73">
        <v>2</v>
      </c>
      <c r="F63" s="73">
        <v>3.02</v>
      </c>
      <c r="G63" s="73">
        <v>20</v>
      </c>
      <c r="H63" s="74">
        <v>60.4</v>
      </c>
      <c r="I63" s="74">
        <v>70</v>
      </c>
      <c r="J63" s="72" t="s">
        <v>14</v>
      </c>
      <c r="K63" s="96">
        <f t="shared" si="4"/>
        <v>64.790000000000006</v>
      </c>
      <c r="L63" s="98">
        <f t="shared" si="3"/>
        <v>155.49600000000001</v>
      </c>
    </row>
    <row r="64" spans="1:12" x14ac:dyDescent="0.3">
      <c r="A64" s="72">
        <v>73003</v>
      </c>
      <c r="B64" s="72" t="s">
        <v>92</v>
      </c>
      <c r="C64" s="72" t="s">
        <v>91</v>
      </c>
      <c r="D64" s="72" t="s">
        <v>13</v>
      </c>
      <c r="E64" s="73">
        <v>2</v>
      </c>
      <c r="F64" s="73">
        <v>3.02</v>
      </c>
      <c r="G64" s="73">
        <v>20</v>
      </c>
      <c r="H64" s="74">
        <v>60.4</v>
      </c>
      <c r="I64" s="74">
        <v>70</v>
      </c>
      <c r="J64" s="72" t="s">
        <v>14</v>
      </c>
      <c r="K64" s="96">
        <f t="shared" si="4"/>
        <v>65.89</v>
      </c>
      <c r="L64" s="98">
        <f t="shared" si="3"/>
        <v>158.136</v>
      </c>
    </row>
    <row r="65" spans="1:12" x14ac:dyDescent="0.3">
      <c r="A65" s="72">
        <v>73005</v>
      </c>
      <c r="B65" s="72" t="s">
        <v>93</v>
      </c>
      <c r="C65" s="72" t="s">
        <v>91</v>
      </c>
      <c r="D65" s="72" t="s">
        <v>13</v>
      </c>
      <c r="E65" s="73">
        <v>2</v>
      </c>
      <c r="F65" s="73">
        <v>3.02</v>
      </c>
      <c r="G65" s="73">
        <v>20</v>
      </c>
      <c r="H65" s="74">
        <v>60.4</v>
      </c>
      <c r="I65" s="74">
        <v>70</v>
      </c>
      <c r="J65" s="72" t="s">
        <v>14</v>
      </c>
      <c r="K65" s="96">
        <f t="shared" si="4"/>
        <v>64.790000000000006</v>
      </c>
      <c r="L65" s="98">
        <f t="shared" si="3"/>
        <v>155.49600000000001</v>
      </c>
    </row>
    <row r="66" spans="1:12" x14ac:dyDescent="0.3">
      <c r="A66" s="72">
        <v>73008</v>
      </c>
      <c r="B66" s="72" t="s">
        <v>94</v>
      </c>
      <c r="C66" s="72" t="s">
        <v>91</v>
      </c>
      <c r="D66" s="72" t="s">
        <v>13</v>
      </c>
      <c r="E66" s="73">
        <v>2</v>
      </c>
      <c r="F66" s="73">
        <v>3.02</v>
      </c>
      <c r="G66" s="73">
        <v>20</v>
      </c>
      <c r="H66" s="74">
        <v>60.4</v>
      </c>
      <c r="I66" s="74">
        <v>70</v>
      </c>
      <c r="J66" s="72" t="s">
        <v>14</v>
      </c>
      <c r="K66" s="96">
        <f t="shared" si="4"/>
        <v>64.790000000000006</v>
      </c>
      <c r="L66" s="98">
        <f t="shared" si="3"/>
        <v>155.49600000000001</v>
      </c>
    </row>
    <row r="67" spans="1:12" x14ac:dyDescent="0.3">
      <c r="A67" s="72">
        <v>73009</v>
      </c>
      <c r="B67" s="72" t="s">
        <v>95</v>
      </c>
      <c r="C67" s="72" t="s">
        <v>91</v>
      </c>
      <c r="D67" s="72" t="s">
        <v>13</v>
      </c>
      <c r="E67" s="73">
        <v>2</v>
      </c>
      <c r="F67" s="73">
        <v>3.02</v>
      </c>
      <c r="G67" s="73">
        <v>20</v>
      </c>
      <c r="H67" s="74">
        <v>60.4</v>
      </c>
      <c r="I67" s="74">
        <v>70</v>
      </c>
      <c r="J67" s="72" t="s">
        <v>14</v>
      </c>
      <c r="K67" s="96">
        <f t="shared" si="4"/>
        <v>65.89</v>
      </c>
      <c r="L67" s="98">
        <f t="shared" si="3"/>
        <v>158.136</v>
      </c>
    </row>
    <row r="68" spans="1:12" x14ac:dyDescent="0.3">
      <c r="A68" s="72">
        <v>73010</v>
      </c>
      <c r="B68" s="72" t="s">
        <v>131</v>
      </c>
      <c r="C68" s="72" t="s">
        <v>91</v>
      </c>
      <c r="D68" s="72" t="s">
        <v>13</v>
      </c>
      <c r="E68" s="73">
        <v>2</v>
      </c>
      <c r="F68" s="73">
        <v>3.02</v>
      </c>
      <c r="G68" s="73">
        <v>20</v>
      </c>
      <c r="H68" s="74">
        <v>60.4</v>
      </c>
      <c r="I68" s="74">
        <v>70</v>
      </c>
      <c r="J68" s="72" t="s">
        <v>14</v>
      </c>
      <c r="K68" s="96">
        <f t="shared" si="4"/>
        <v>65.89</v>
      </c>
      <c r="L68" s="98">
        <f t="shared" si="3"/>
        <v>158.136</v>
      </c>
    </row>
    <row r="69" spans="1:12" x14ac:dyDescent="0.3">
      <c r="A69" s="72">
        <v>73011</v>
      </c>
      <c r="B69" s="72" t="s">
        <v>181</v>
      </c>
      <c r="C69" s="72" t="s">
        <v>91</v>
      </c>
      <c r="D69" s="72" t="s">
        <v>13</v>
      </c>
      <c r="E69" s="73">
        <v>2</v>
      </c>
      <c r="F69" s="73">
        <v>3.02</v>
      </c>
      <c r="G69" s="73">
        <v>20</v>
      </c>
      <c r="H69" s="74">
        <v>60.4</v>
      </c>
      <c r="I69" s="74">
        <v>70</v>
      </c>
      <c r="J69" s="72" t="s">
        <v>14</v>
      </c>
      <c r="K69" s="96">
        <f t="shared" si="4"/>
        <v>64.790000000000006</v>
      </c>
      <c r="L69" s="98">
        <f t="shared" si="3"/>
        <v>155.49600000000001</v>
      </c>
    </row>
    <row r="70" spans="1:12" x14ac:dyDescent="0.3">
      <c r="A70" s="72">
        <v>73012</v>
      </c>
      <c r="B70" s="72" t="s">
        <v>190</v>
      </c>
      <c r="C70" s="72" t="s">
        <v>91</v>
      </c>
      <c r="D70" s="72" t="s">
        <v>13</v>
      </c>
      <c r="E70" s="73">
        <v>2</v>
      </c>
      <c r="F70" s="73">
        <v>3.02</v>
      </c>
      <c r="G70" s="73">
        <v>20</v>
      </c>
      <c r="H70" s="74">
        <v>60.4</v>
      </c>
      <c r="I70" s="74">
        <v>70</v>
      </c>
      <c r="J70" s="72" t="s">
        <v>14</v>
      </c>
      <c r="K70" s="96">
        <f t="shared" si="4"/>
        <v>66.989999999999995</v>
      </c>
      <c r="L70" s="98">
        <f t="shared" ref="L70:L101" si="5">K70*2.4</f>
        <v>160.77599999999998</v>
      </c>
    </row>
    <row r="71" spans="1:12" x14ac:dyDescent="0.3">
      <c r="A71" s="72">
        <v>73013</v>
      </c>
      <c r="B71" s="72" t="s">
        <v>221</v>
      </c>
      <c r="C71" s="72" t="s">
        <v>91</v>
      </c>
      <c r="D71" s="72" t="s">
        <v>13</v>
      </c>
      <c r="E71" s="73">
        <v>2</v>
      </c>
      <c r="F71" s="73">
        <v>3.02</v>
      </c>
      <c r="G71" s="73">
        <v>20</v>
      </c>
      <c r="H71" s="74">
        <v>60.4</v>
      </c>
      <c r="I71" s="74">
        <v>70</v>
      </c>
      <c r="J71" s="72" t="s">
        <v>14</v>
      </c>
      <c r="K71" s="96">
        <v>66.989999999999995</v>
      </c>
      <c r="L71" s="98">
        <f t="shared" si="5"/>
        <v>160.77599999999998</v>
      </c>
    </row>
    <row r="72" spans="1:12" x14ac:dyDescent="0.3">
      <c r="A72" s="72">
        <v>73014</v>
      </c>
      <c r="B72" s="72" t="s">
        <v>222</v>
      </c>
      <c r="C72" s="72" t="s">
        <v>91</v>
      </c>
      <c r="D72" s="72" t="s">
        <v>223</v>
      </c>
      <c r="E72" s="73">
        <v>2</v>
      </c>
      <c r="F72" s="73">
        <v>3.02</v>
      </c>
      <c r="G72" s="73">
        <v>20</v>
      </c>
      <c r="H72" s="74">
        <v>60.4</v>
      </c>
      <c r="I72" s="76">
        <v>70</v>
      </c>
      <c r="J72" s="75" t="s">
        <v>182</v>
      </c>
      <c r="K72" s="96">
        <f>VLOOKUP(A72,tabelas,2,FALSE)</f>
        <v>66.989999999999995</v>
      </c>
      <c r="L72" s="98">
        <f t="shared" si="5"/>
        <v>160.77599999999998</v>
      </c>
    </row>
    <row r="73" spans="1:12" x14ac:dyDescent="0.3">
      <c r="A73" s="72">
        <v>73015</v>
      </c>
      <c r="B73" s="72" t="s">
        <v>224</v>
      </c>
      <c r="C73" s="72" t="s">
        <v>91</v>
      </c>
      <c r="D73" s="72" t="s">
        <v>225</v>
      </c>
      <c r="E73" s="73">
        <v>2</v>
      </c>
      <c r="F73" s="73">
        <v>3.02</v>
      </c>
      <c r="G73" s="73">
        <v>20</v>
      </c>
      <c r="H73" s="74">
        <v>60.4</v>
      </c>
      <c r="I73" s="76">
        <v>70</v>
      </c>
      <c r="J73" s="72" t="s">
        <v>41</v>
      </c>
      <c r="K73" s="96">
        <f>VLOOKUP(A73,tabelas,2,FALSE)</f>
        <v>73.59</v>
      </c>
      <c r="L73" s="98">
        <f t="shared" si="5"/>
        <v>176.61600000000001</v>
      </c>
    </row>
    <row r="74" spans="1:12" x14ac:dyDescent="0.3">
      <c r="A74" s="72">
        <v>73016</v>
      </c>
      <c r="B74" s="72" t="s">
        <v>260</v>
      </c>
      <c r="C74" s="72" t="s">
        <v>91</v>
      </c>
      <c r="D74" s="72" t="s">
        <v>13</v>
      </c>
      <c r="E74" s="73">
        <v>2</v>
      </c>
      <c r="F74" s="73">
        <v>3.02</v>
      </c>
      <c r="G74" s="73">
        <v>20</v>
      </c>
      <c r="H74" s="74">
        <v>60.4</v>
      </c>
      <c r="I74" s="76">
        <v>70</v>
      </c>
      <c r="J74" s="72" t="s">
        <v>14</v>
      </c>
      <c r="K74" s="96">
        <v>65.89</v>
      </c>
      <c r="L74" s="98">
        <f t="shared" si="5"/>
        <v>158.136</v>
      </c>
    </row>
    <row r="75" spans="1:12" x14ac:dyDescent="0.3">
      <c r="A75" s="72">
        <v>73017</v>
      </c>
      <c r="B75" s="72" t="s">
        <v>261</v>
      </c>
      <c r="C75" s="72" t="s">
        <v>91</v>
      </c>
      <c r="D75" s="72" t="s">
        <v>223</v>
      </c>
      <c r="E75" s="73">
        <v>2</v>
      </c>
      <c r="F75" s="73">
        <v>3.02</v>
      </c>
      <c r="G75" s="73">
        <v>20</v>
      </c>
      <c r="H75" s="74">
        <v>60.4</v>
      </c>
      <c r="I75" s="76">
        <v>70</v>
      </c>
      <c r="J75" s="72" t="s">
        <v>219</v>
      </c>
      <c r="K75" s="96">
        <v>66.989999999999995</v>
      </c>
      <c r="L75" s="98">
        <f t="shared" si="5"/>
        <v>160.77599999999998</v>
      </c>
    </row>
    <row r="76" spans="1:12" x14ac:dyDescent="0.3">
      <c r="A76" s="72">
        <v>73018</v>
      </c>
      <c r="B76" s="72" t="s">
        <v>262</v>
      </c>
      <c r="C76" s="72" t="s">
        <v>91</v>
      </c>
      <c r="D76" s="72" t="s">
        <v>13</v>
      </c>
      <c r="E76" s="73">
        <v>2</v>
      </c>
      <c r="F76" s="73">
        <v>3.02</v>
      </c>
      <c r="G76" s="73">
        <v>20</v>
      </c>
      <c r="H76" s="74">
        <v>60.4</v>
      </c>
      <c r="I76" s="76">
        <v>70</v>
      </c>
      <c r="J76" s="72" t="s">
        <v>14</v>
      </c>
      <c r="K76" s="96">
        <v>65.89</v>
      </c>
      <c r="L76" s="98">
        <f t="shared" si="5"/>
        <v>158.136</v>
      </c>
    </row>
    <row r="77" spans="1:12" x14ac:dyDescent="0.3">
      <c r="A77" s="82">
        <v>73019</v>
      </c>
      <c r="B77" s="82" t="s">
        <v>267</v>
      </c>
      <c r="C77" s="82" t="s">
        <v>91</v>
      </c>
      <c r="D77" s="82" t="s">
        <v>13</v>
      </c>
      <c r="E77" s="84">
        <v>2</v>
      </c>
      <c r="F77" s="84">
        <v>3.02</v>
      </c>
      <c r="G77" s="84">
        <v>20</v>
      </c>
      <c r="H77" s="89">
        <v>60.4</v>
      </c>
      <c r="I77" s="85">
        <v>70</v>
      </c>
      <c r="J77" s="82" t="s">
        <v>14</v>
      </c>
      <c r="K77" s="97">
        <v>65.89</v>
      </c>
      <c r="L77" s="98">
        <f t="shared" si="5"/>
        <v>158.136</v>
      </c>
    </row>
    <row r="78" spans="1:12" x14ac:dyDescent="0.3">
      <c r="A78" s="82">
        <v>73020</v>
      </c>
      <c r="B78" s="82" t="s">
        <v>268</v>
      </c>
      <c r="C78" s="82" t="s">
        <v>91</v>
      </c>
      <c r="D78" s="82" t="s">
        <v>13</v>
      </c>
      <c r="E78" s="84">
        <v>2</v>
      </c>
      <c r="F78" s="84">
        <v>3.02</v>
      </c>
      <c r="G78" s="84">
        <v>20</v>
      </c>
      <c r="H78" s="89">
        <v>60.4</v>
      </c>
      <c r="I78" s="85">
        <v>70</v>
      </c>
      <c r="J78" s="82" t="s">
        <v>14</v>
      </c>
      <c r="K78" s="97">
        <v>65.89</v>
      </c>
      <c r="L78" s="98">
        <f t="shared" si="5"/>
        <v>158.136</v>
      </c>
    </row>
    <row r="79" spans="1:12" x14ac:dyDescent="0.3">
      <c r="A79" s="72">
        <v>73720</v>
      </c>
      <c r="B79" s="72" t="s">
        <v>15</v>
      </c>
      <c r="C79" s="72" t="s">
        <v>12</v>
      </c>
      <c r="D79" s="72" t="s">
        <v>16</v>
      </c>
      <c r="E79" s="73">
        <v>6</v>
      </c>
      <c r="F79" s="73">
        <v>2.27</v>
      </c>
      <c r="G79" s="73">
        <v>32</v>
      </c>
      <c r="H79" s="74">
        <v>72.64</v>
      </c>
      <c r="I79" s="74">
        <v>48</v>
      </c>
      <c r="J79" s="72" t="s">
        <v>17</v>
      </c>
      <c r="K79" s="96">
        <f t="shared" ref="K79:K101" si="6">VLOOKUP(A79,tabelas,2,FALSE)</f>
        <v>50.49</v>
      </c>
      <c r="L79" s="98">
        <f t="shared" si="5"/>
        <v>121.176</v>
      </c>
    </row>
    <row r="80" spans="1:12" x14ac:dyDescent="0.3">
      <c r="A80" s="72">
        <v>73726</v>
      </c>
      <c r="B80" s="72" t="s">
        <v>196</v>
      </c>
      <c r="C80" s="72" t="s">
        <v>12</v>
      </c>
      <c r="D80" s="75" t="s">
        <v>248</v>
      </c>
      <c r="E80" s="73">
        <v>6</v>
      </c>
      <c r="F80" s="73">
        <v>2.27</v>
      </c>
      <c r="G80" s="73">
        <v>32</v>
      </c>
      <c r="H80" s="74">
        <v>72.64</v>
      </c>
      <c r="I80" s="76">
        <v>48</v>
      </c>
      <c r="J80" s="75" t="s">
        <v>182</v>
      </c>
      <c r="K80" s="96">
        <f t="shared" si="6"/>
        <v>59.29</v>
      </c>
      <c r="L80" s="98">
        <f t="shared" si="5"/>
        <v>142.29599999999999</v>
      </c>
    </row>
    <row r="81" spans="1:12" x14ac:dyDescent="0.3">
      <c r="A81" s="72">
        <v>73727</v>
      </c>
      <c r="B81" s="72" t="s">
        <v>198</v>
      </c>
      <c r="C81" s="72" t="s">
        <v>12</v>
      </c>
      <c r="D81" s="72" t="s">
        <v>199</v>
      </c>
      <c r="E81" s="73">
        <v>6</v>
      </c>
      <c r="F81" s="73">
        <v>2.27</v>
      </c>
      <c r="G81" s="73">
        <v>32</v>
      </c>
      <c r="H81" s="74">
        <v>72.64</v>
      </c>
      <c r="I81" s="76">
        <v>48</v>
      </c>
      <c r="J81" s="72" t="s">
        <v>41</v>
      </c>
      <c r="K81" s="96">
        <f t="shared" si="6"/>
        <v>57.09</v>
      </c>
      <c r="L81" s="98">
        <f t="shared" si="5"/>
        <v>137.01599999999999</v>
      </c>
    </row>
    <row r="82" spans="1:12" x14ac:dyDescent="0.3">
      <c r="A82" s="72">
        <v>73731</v>
      </c>
      <c r="B82" s="72" t="s">
        <v>200</v>
      </c>
      <c r="C82" s="72" t="s">
        <v>12</v>
      </c>
      <c r="D82" s="72" t="s">
        <v>201</v>
      </c>
      <c r="E82" s="73">
        <v>6</v>
      </c>
      <c r="F82" s="73">
        <v>2.27</v>
      </c>
      <c r="G82" s="73">
        <v>32</v>
      </c>
      <c r="H82" s="74">
        <v>72.64</v>
      </c>
      <c r="I82" s="76">
        <v>48</v>
      </c>
      <c r="J82" s="72" t="s">
        <v>41</v>
      </c>
      <c r="K82" s="96">
        <f t="shared" si="6"/>
        <v>65.89</v>
      </c>
      <c r="L82" s="98">
        <f t="shared" si="5"/>
        <v>158.136</v>
      </c>
    </row>
    <row r="83" spans="1:12" x14ac:dyDescent="0.3">
      <c r="A83" s="75">
        <v>94701</v>
      </c>
      <c r="B83" s="75" t="s">
        <v>133</v>
      </c>
      <c r="C83" s="75" t="s">
        <v>132</v>
      </c>
      <c r="D83" s="75" t="s">
        <v>13</v>
      </c>
      <c r="E83" s="75">
        <v>3</v>
      </c>
      <c r="F83" s="75">
        <v>2.65</v>
      </c>
      <c r="G83" s="75">
        <v>24</v>
      </c>
      <c r="H83" s="91">
        <v>63.6</v>
      </c>
      <c r="I83" s="91">
        <v>46</v>
      </c>
      <c r="J83" s="75" t="s">
        <v>14</v>
      </c>
      <c r="K83" s="96">
        <f t="shared" si="6"/>
        <v>44.99</v>
      </c>
      <c r="L83" s="98">
        <f t="shared" si="5"/>
        <v>107.976</v>
      </c>
    </row>
    <row r="84" spans="1:12" x14ac:dyDescent="0.3">
      <c r="A84" s="75">
        <v>94702</v>
      </c>
      <c r="B84" s="75" t="s">
        <v>134</v>
      </c>
      <c r="C84" s="75" t="s">
        <v>132</v>
      </c>
      <c r="D84" s="75" t="s">
        <v>13</v>
      </c>
      <c r="E84" s="75">
        <v>3</v>
      </c>
      <c r="F84" s="75">
        <v>2.65</v>
      </c>
      <c r="G84" s="75">
        <v>24</v>
      </c>
      <c r="H84" s="91">
        <v>63.6</v>
      </c>
      <c r="I84" s="91">
        <v>46</v>
      </c>
      <c r="J84" s="75" t="s">
        <v>14</v>
      </c>
      <c r="K84" s="96">
        <f t="shared" si="6"/>
        <v>46.09</v>
      </c>
      <c r="L84" s="98">
        <f t="shared" si="5"/>
        <v>110.616</v>
      </c>
    </row>
    <row r="85" spans="1:12" x14ac:dyDescent="0.3">
      <c r="A85" s="75">
        <v>94703</v>
      </c>
      <c r="B85" s="75" t="s">
        <v>135</v>
      </c>
      <c r="C85" s="75" t="s">
        <v>132</v>
      </c>
      <c r="D85" s="75" t="s">
        <v>13</v>
      </c>
      <c r="E85" s="75">
        <v>3</v>
      </c>
      <c r="F85" s="75">
        <v>2.65</v>
      </c>
      <c r="G85" s="75">
        <v>24</v>
      </c>
      <c r="H85" s="91">
        <v>63.6</v>
      </c>
      <c r="I85" s="91">
        <v>46</v>
      </c>
      <c r="J85" s="75" t="s">
        <v>14</v>
      </c>
      <c r="K85" s="96">
        <f t="shared" si="6"/>
        <v>48.29</v>
      </c>
      <c r="L85" s="98">
        <f t="shared" si="5"/>
        <v>115.89599999999999</v>
      </c>
    </row>
    <row r="86" spans="1:12" x14ac:dyDescent="0.3">
      <c r="A86" s="75">
        <v>94704</v>
      </c>
      <c r="B86" s="75" t="s">
        <v>136</v>
      </c>
      <c r="C86" s="75" t="s">
        <v>132</v>
      </c>
      <c r="D86" s="75" t="s">
        <v>16</v>
      </c>
      <c r="E86" s="75">
        <v>3</v>
      </c>
      <c r="F86" s="75">
        <v>2.65</v>
      </c>
      <c r="G86" s="75">
        <v>24</v>
      </c>
      <c r="H86" s="91">
        <v>63.6</v>
      </c>
      <c r="I86" s="91">
        <v>46</v>
      </c>
      <c r="J86" s="75" t="s">
        <v>17</v>
      </c>
      <c r="K86" s="96">
        <f t="shared" si="6"/>
        <v>49.39</v>
      </c>
      <c r="L86" s="98">
        <f t="shared" si="5"/>
        <v>118.536</v>
      </c>
    </row>
    <row r="87" spans="1:12" x14ac:dyDescent="0.3">
      <c r="A87" s="75">
        <v>94705</v>
      </c>
      <c r="B87" s="75" t="s">
        <v>176</v>
      </c>
      <c r="C87" s="75" t="s">
        <v>132</v>
      </c>
      <c r="D87" s="75" t="s">
        <v>13</v>
      </c>
      <c r="E87" s="75">
        <v>3</v>
      </c>
      <c r="F87" s="75">
        <v>2.65</v>
      </c>
      <c r="G87" s="75">
        <v>24</v>
      </c>
      <c r="H87" s="91">
        <v>63.6</v>
      </c>
      <c r="I87" s="91">
        <v>46</v>
      </c>
      <c r="J87" s="75" t="s">
        <v>14</v>
      </c>
      <c r="K87" s="96">
        <f t="shared" si="6"/>
        <v>46.09</v>
      </c>
      <c r="L87" s="98">
        <f t="shared" si="5"/>
        <v>110.616</v>
      </c>
    </row>
    <row r="88" spans="1:12" x14ac:dyDescent="0.3">
      <c r="A88" s="75">
        <v>94708</v>
      </c>
      <c r="B88" s="75" t="s">
        <v>175</v>
      </c>
      <c r="C88" s="75" t="s">
        <v>132</v>
      </c>
      <c r="D88" s="75" t="s">
        <v>13</v>
      </c>
      <c r="E88" s="75">
        <v>3</v>
      </c>
      <c r="F88" s="75">
        <v>2.65</v>
      </c>
      <c r="G88" s="75">
        <v>24</v>
      </c>
      <c r="H88" s="91">
        <v>63.6</v>
      </c>
      <c r="I88" s="91">
        <v>46</v>
      </c>
      <c r="J88" s="75" t="s">
        <v>14</v>
      </c>
      <c r="K88" s="96">
        <f t="shared" si="6"/>
        <v>46.09</v>
      </c>
      <c r="L88" s="98">
        <f t="shared" si="5"/>
        <v>110.616</v>
      </c>
    </row>
    <row r="89" spans="1:12" x14ac:dyDescent="0.3">
      <c r="A89" s="75">
        <v>94710</v>
      </c>
      <c r="B89" s="75" t="s">
        <v>137</v>
      </c>
      <c r="C89" s="75" t="s">
        <v>132</v>
      </c>
      <c r="D89" s="75" t="s">
        <v>13</v>
      </c>
      <c r="E89" s="75">
        <v>3</v>
      </c>
      <c r="F89" s="75">
        <v>2.65</v>
      </c>
      <c r="G89" s="75">
        <v>24</v>
      </c>
      <c r="H89" s="91">
        <v>63.6</v>
      </c>
      <c r="I89" s="91">
        <v>46</v>
      </c>
      <c r="J89" s="75" t="s">
        <v>14</v>
      </c>
      <c r="K89" s="96">
        <f t="shared" si="6"/>
        <v>49.39</v>
      </c>
      <c r="L89" s="98">
        <f t="shared" si="5"/>
        <v>118.536</v>
      </c>
    </row>
    <row r="90" spans="1:12" x14ac:dyDescent="0.3">
      <c r="A90" s="75">
        <v>94712</v>
      </c>
      <c r="B90" s="75" t="s">
        <v>138</v>
      </c>
      <c r="C90" s="75" t="s">
        <v>132</v>
      </c>
      <c r="D90" s="75" t="s">
        <v>13</v>
      </c>
      <c r="E90" s="75">
        <v>3</v>
      </c>
      <c r="F90" s="75">
        <v>2.65</v>
      </c>
      <c r="G90" s="75">
        <v>24</v>
      </c>
      <c r="H90" s="91">
        <v>63.6</v>
      </c>
      <c r="I90" s="91">
        <v>46</v>
      </c>
      <c r="J90" s="75" t="s">
        <v>14</v>
      </c>
      <c r="K90" s="96">
        <f t="shared" si="6"/>
        <v>46.09</v>
      </c>
      <c r="L90" s="98">
        <f t="shared" si="5"/>
        <v>110.616</v>
      </c>
    </row>
    <row r="91" spans="1:12" x14ac:dyDescent="0.3">
      <c r="A91" s="75">
        <v>94714</v>
      </c>
      <c r="B91" s="75" t="s">
        <v>139</v>
      </c>
      <c r="C91" s="75" t="s">
        <v>132</v>
      </c>
      <c r="D91" s="75" t="s">
        <v>13</v>
      </c>
      <c r="E91" s="75">
        <v>3</v>
      </c>
      <c r="F91" s="75">
        <v>2.65</v>
      </c>
      <c r="G91" s="75">
        <v>24</v>
      </c>
      <c r="H91" s="91">
        <v>63.6</v>
      </c>
      <c r="I91" s="91">
        <v>46</v>
      </c>
      <c r="J91" s="75" t="s">
        <v>14</v>
      </c>
      <c r="K91" s="96">
        <f t="shared" si="6"/>
        <v>60.39</v>
      </c>
      <c r="L91" s="98">
        <f t="shared" si="5"/>
        <v>144.93600000000001</v>
      </c>
    </row>
    <row r="92" spans="1:12" x14ac:dyDescent="0.3">
      <c r="A92" s="75">
        <v>94716</v>
      </c>
      <c r="B92" s="75" t="s">
        <v>140</v>
      </c>
      <c r="C92" s="75" t="s">
        <v>132</v>
      </c>
      <c r="D92" s="75" t="s">
        <v>13</v>
      </c>
      <c r="E92" s="75">
        <v>3</v>
      </c>
      <c r="F92" s="75">
        <v>2.65</v>
      </c>
      <c r="G92" s="75">
        <v>24</v>
      </c>
      <c r="H92" s="91">
        <v>63.6</v>
      </c>
      <c r="I92" s="91">
        <v>46</v>
      </c>
      <c r="J92" s="75" t="s">
        <v>14</v>
      </c>
      <c r="K92" s="96">
        <f t="shared" si="6"/>
        <v>60.39</v>
      </c>
      <c r="L92" s="98">
        <f t="shared" si="5"/>
        <v>144.93600000000001</v>
      </c>
    </row>
    <row r="93" spans="1:12" x14ac:dyDescent="0.3">
      <c r="A93" s="75">
        <v>94718</v>
      </c>
      <c r="B93" s="75" t="s">
        <v>141</v>
      </c>
      <c r="C93" s="75" t="s">
        <v>132</v>
      </c>
      <c r="D93" s="75" t="s">
        <v>13</v>
      </c>
      <c r="E93" s="75">
        <v>3</v>
      </c>
      <c r="F93" s="75">
        <v>2.65</v>
      </c>
      <c r="G93" s="75">
        <v>24</v>
      </c>
      <c r="H93" s="91">
        <v>63.6</v>
      </c>
      <c r="I93" s="91">
        <v>46</v>
      </c>
      <c r="J93" s="75" t="s">
        <v>14</v>
      </c>
      <c r="K93" s="96">
        <f t="shared" si="6"/>
        <v>48.29</v>
      </c>
      <c r="L93" s="98">
        <f t="shared" si="5"/>
        <v>115.89599999999999</v>
      </c>
    </row>
    <row r="94" spans="1:12" x14ac:dyDescent="0.3">
      <c r="A94" s="75">
        <v>94720</v>
      </c>
      <c r="B94" s="75" t="s">
        <v>259</v>
      </c>
      <c r="C94" s="75" t="s">
        <v>132</v>
      </c>
      <c r="D94" s="75" t="s">
        <v>13</v>
      </c>
      <c r="E94" s="75">
        <v>3</v>
      </c>
      <c r="F94" s="75">
        <v>2.65</v>
      </c>
      <c r="G94" s="75">
        <v>24</v>
      </c>
      <c r="H94" s="91">
        <v>63.6</v>
      </c>
      <c r="I94" s="91">
        <v>46</v>
      </c>
      <c r="J94" s="75" t="s">
        <v>14</v>
      </c>
      <c r="K94" s="96">
        <f t="shared" si="6"/>
        <v>48.29</v>
      </c>
      <c r="L94" s="98">
        <f t="shared" si="5"/>
        <v>115.89599999999999</v>
      </c>
    </row>
    <row r="95" spans="1:12" x14ac:dyDescent="0.3">
      <c r="A95" s="75">
        <v>94721</v>
      </c>
      <c r="B95" s="75" t="s">
        <v>142</v>
      </c>
      <c r="C95" s="75" t="s">
        <v>132</v>
      </c>
      <c r="D95" s="75" t="s">
        <v>13</v>
      </c>
      <c r="E95" s="75">
        <v>3</v>
      </c>
      <c r="F95" s="75">
        <v>2.65</v>
      </c>
      <c r="G95" s="75">
        <v>24</v>
      </c>
      <c r="H95" s="91">
        <v>63.6</v>
      </c>
      <c r="I95" s="91">
        <v>46</v>
      </c>
      <c r="J95" s="75" t="s">
        <v>14</v>
      </c>
      <c r="K95" s="96">
        <f t="shared" si="6"/>
        <v>48.29</v>
      </c>
      <c r="L95" s="98">
        <f t="shared" si="5"/>
        <v>115.89599999999999</v>
      </c>
    </row>
    <row r="96" spans="1:12" x14ac:dyDescent="0.3">
      <c r="A96" s="72">
        <v>94722</v>
      </c>
      <c r="B96" s="72" t="s">
        <v>178</v>
      </c>
      <c r="C96" s="75" t="s">
        <v>132</v>
      </c>
      <c r="D96" s="72" t="s">
        <v>13</v>
      </c>
      <c r="E96" s="75">
        <v>3</v>
      </c>
      <c r="F96" s="75">
        <v>2.65</v>
      </c>
      <c r="G96" s="75">
        <v>24</v>
      </c>
      <c r="H96" s="91">
        <v>63.6</v>
      </c>
      <c r="I96" s="91">
        <v>46</v>
      </c>
      <c r="J96" s="72" t="s">
        <v>14</v>
      </c>
      <c r="K96" s="96">
        <f t="shared" si="6"/>
        <v>44.99</v>
      </c>
      <c r="L96" s="98">
        <f t="shared" si="5"/>
        <v>107.976</v>
      </c>
    </row>
    <row r="97" spans="1:12" x14ac:dyDescent="0.3">
      <c r="A97" s="75">
        <v>94723</v>
      </c>
      <c r="B97" s="75" t="s">
        <v>229</v>
      </c>
      <c r="C97" s="75" t="s">
        <v>132</v>
      </c>
      <c r="D97" s="75" t="s">
        <v>197</v>
      </c>
      <c r="E97" s="75">
        <v>3</v>
      </c>
      <c r="F97" s="75">
        <v>2.65</v>
      </c>
      <c r="G97" s="75">
        <v>24</v>
      </c>
      <c r="H97" s="91">
        <v>63.6</v>
      </c>
      <c r="I97" s="92">
        <v>46</v>
      </c>
      <c r="J97" s="75" t="s">
        <v>182</v>
      </c>
      <c r="K97" s="96">
        <f t="shared" si="6"/>
        <v>50.49</v>
      </c>
      <c r="L97" s="98">
        <f t="shared" si="5"/>
        <v>121.176</v>
      </c>
    </row>
    <row r="98" spans="1:12" x14ac:dyDescent="0.3">
      <c r="A98" s="75">
        <v>94725</v>
      </c>
      <c r="B98" s="75" t="s">
        <v>230</v>
      </c>
      <c r="C98" s="75" t="s">
        <v>132</v>
      </c>
      <c r="D98" s="75" t="s">
        <v>223</v>
      </c>
      <c r="E98" s="75">
        <v>3</v>
      </c>
      <c r="F98" s="75">
        <v>2.65</v>
      </c>
      <c r="G98" s="75">
        <v>24</v>
      </c>
      <c r="H98" s="91">
        <v>63.6</v>
      </c>
      <c r="I98" s="92">
        <v>46</v>
      </c>
      <c r="J98" s="75" t="s">
        <v>182</v>
      </c>
      <c r="K98" s="96">
        <f t="shared" si="6"/>
        <v>50.49</v>
      </c>
      <c r="L98" s="98">
        <f t="shared" si="5"/>
        <v>121.176</v>
      </c>
    </row>
    <row r="99" spans="1:12" x14ac:dyDescent="0.3">
      <c r="A99" s="75">
        <v>94727</v>
      </c>
      <c r="B99" s="75" t="s">
        <v>256</v>
      </c>
      <c r="C99" s="75" t="s">
        <v>132</v>
      </c>
      <c r="D99" s="75" t="s">
        <v>13</v>
      </c>
      <c r="E99" s="75">
        <v>3</v>
      </c>
      <c r="F99" s="75">
        <v>2.65</v>
      </c>
      <c r="G99" s="75">
        <v>24</v>
      </c>
      <c r="H99" s="91">
        <v>63.6</v>
      </c>
      <c r="I99" s="92">
        <v>46</v>
      </c>
      <c r="J99" s="75" t="s">
        <v>14</v>
      </c>
      <c r="K99" s="96">
        <f t="shared" si="6"/>
        <v>44.99</v>
      </c>
      <c r="L99" s="98">
        <f t="shared" si="5"/>
        <v>107.976</v>
      </c>
    </row>
    <row r="100" spans="1:12" x14ac:dyDescent="0.3">
      <c r="A100" s="75">
        <v>94728</v>
      </c>
      <c r="B100" s="75" t="s">
        <v>257</v>
      </c>
      <c r="C100" s="75" t="s">
        <v>132</v>
      </c>
      <c r="D100" s="75" t="s">
        <v>223</v>
      </c>
      <c r="E100" s="75">
        <v>3</v>
      </c>
      <c r="F100" s="75">
        <v>2.65</v>
      </c>
      <c r="G100" s="75">
        <v>24</v>
      </c>
      <c r="H100" s="91">
        <v>63.6</v>
      </c>
      <c r="I100" s="92">
        <v>46</v>
      </c>
      <c r="J100" s="72" t="s">
        <v>219</v>
      </c>
      <c r="K100" s="96">
        <f t="shared" si="6"/>
        <v>50.49</v>
      </c>
      <c r="L100" s="98">
        <f t="shared" si="5"/>
        <v>121.176</v>
      </c>
    </row>
    <row r="101" spans="1:12" x14ac:dyDescent="0.3">
      <c r="A101" s="75">
        <v>94729</v>
      </c>
      <c r="B101" s="75" t="s">
        <v>258</v>
      </c>
      <c r="C101" s="75" t="s">
        <v>132</v>
      </c>
      <c r="D101" s="75" t="s">
        <v>223</v>
      </c>
      <c r="E101" s="75">
        <v>3</v>
      </c>
      <c r="F101" s="75">
        <v>2.65</v>
      </c>
      <c r="G101" s="75">
        <v>24</v>
      </c>
      <c r="H101" s="91">
        <v>63.6</v>
      </c>
      <c r="I101" s="92">
        <v>46</v>
      </c>
      <c r="J101" s="75" t="s">
        <v>219</v>
      </c>
      <c r="K101" s="96">
        <f t="shared" si="6"/>
        <v>50.49</v>
      </c>
      <c r="L101" s="98">
        <f t="shared" si="5"/>
        <v>121.176</v>
      </c>
    </row>
    <row r="102" spans="1:12" x14ac:dyDescent="0.3">
      <c r="A102" s="93">
        <v>94730</v>
      </c>
      <c r="B102" s="93" t="s">
        <v>280</v>
      </c>
      <c r="C102" s="93" t="s">
        <v>132</v>
      </c>
      <c r="D102" s="93" t="s">
        <v>13</v>
      </c>
      <c r="E102" s="93">
        <v>3</v>
      </c>
      <c r="F102" s="93">
        <v>2.65</v>
      </c>
      <c r="G102" s="93">
        <v>24</v>
      </c>
      <c r="H102" s="94">
        <v>63.6</v>
      </c>
      <c r="I102" s="95">
        <v>46</v>
      </c>
      <c r="J102" s="93" t="s">
        <v>14</v>
      </c>
      <c r="K102" s="97">
        <v>46.09</v>
      </c>
      <c r="L102" s="98">
        <f t="shared" ref="L102:L133" si="7">K102*2.4</f>
        <v>110.616</v>
      </c>
    </row>
    <row r="103" spans="1:12" x14ac:dyDescent="0.3">
      <c r="A103" s="93">
        <v>94731</v>
      </c>
      <c r="B103" s="93" t="s">
        <v>281</v>
      </c>
      <c r="C103" s="93" t="s">
        <v>132</v>
      </c>
      <c r="D103" s="93" t="s">
        <v>13</v>
      </c>
      <c r="E103" s="93">
        <v>3</v>
      </c>
      <c r="F103" s="93">
        <v>2.65</v>
      </c>
      <c r="G103" s="93">
        <v>24</v>
      </c>
      <c r="H103" s="94">
        <v>63.6</v>
      </c>
      <c r="I103" s="95">
        <v>46</v>
      </c>
      <c r="J103" s="93" t="s">
        <v>14</v>
      </c>
      <c r="K103" s="97">
        <v>46.09</v>
      </c>
      <c r="L103" s="98">
        <f t="shared" si="7"/>
        <v>110.616</v>
      </c>
    </row>
    <row r="104" spans="1:12" x14ac:dyDescent="0.3">
      <c r="A104" s="93">
        <v>94732</v>
      </c>
      <c r="B104" s="93" t="s">
        <v>282</v>
      </c>
      <c r="C104" s="93" t="s">
        <v>132</v>
      </c>
      <c r="D104" s="93" t="s">
        <v>13</v>
      </c>
      <c r="E104" s="93">
        <v>3</v>
      </c>
      <c r="F104" s="93">
        <v>2.65</v>
      </c>
      <c r="G104" s="93">
        <v>24</v>
      </c>
      <c r="H104" s="94">
        <v>63.6</v>
      </c>
      <c r="I104" s="95">
        <v>46</v>
      </c>
      <c r="J104" s="93" t="s">
        <v>14</v>
      </c>
      <c r="K104" s="97">
        <v>46.09</v>
      </c>
      <c r="L104" s="98">
        <f t="shared" si="7"/>
        <v>110.616</v>
      </c>
    </row>
    <row r="105" spans="1:12" x14ac:dyDescent="0.3">
      <c r="A105" s="93">
        <v>94733</v>
      </c>
      <c r="B105" s="93" t="s">
        <v>283</v>
      </c>
      <c r="C105" s="93" t="s">
        <v>132</v>
      </c>
      <c r="D105" s="93" t="s">
        <v>197</v>
      </c>
      <c r="E105" s="93">
        <v>3</v>
      </c>
      <c r="F105" s="93">
        <v>2.65</v>
      </c>
      <c r="G105" s="93">
        <v>24</v>
      </c>
      <c r="H105" s="94">
        <v>63.6</v>
      </c>
      <c r="I105" s="95">
        <v>46</v>
      </c>
      <c r="J105" s="93" t="s">
        <v>219</v>
      </c>
      <c r="K105" s="97">
        <v>50.49</v>
      </c>
      <c r="L105" s="98">
        <f t="shared" si="7"/>
        <v>121.176</v>
      </c>
    </row>
    <row r="106" spans="1:12" x14ac:dyDescent="0.3">
      <c r="A106" s="93">
        <v>94734</v>
      </c>
      <c r="B106" s="93" t="s">
        <v>284</v>
      </c>
      <c r="C106" s="93" t="s">
        <v>132</v>
      </c>
      <c r="D106" s="93" t="s">
        <v>13</v>
      </c>
      <c r="E106" s="93">
        <v>3</v>
      </c>
      <c r="F106" s="93">
        <v>2.65</v>
      </c>
      <c r="G106" s="93">
        <v>24</v>
      </c>
      <c r="H106" s="94">
        <v>63.6</v>
      </c>
      <c r="I106" s="95">
        <v>46</v>
      </c>
      <c r="J106" s="93" t="s">
        <v>14</v>
      </c>
      <c r="K106" s="97">
        <v>47.190000000000005</v>
      </c>
      <c r="L106" s="98">
        <f t="shared" si="7"/>
        <v>113.25600000000001</v>
      </c>
    </row>
    <row r="107" spans="1:12" x14ac:dyDescent="0.3">
      <c r="A107" s="75">
        <v>98703</v>
      </c>
      <c r="B107" s="75" t="s">
        <v>164</v>
      </c>
      <c r="C107" s="75" t="s">
        <v>161</v>
      </c>
      <c r="D107" s="75" t="s">
        <v>13</v>
      </c>
      <c r="E107" s="75">
        <v>2</v>
      </c>
      <c r="F107" s="75">
        <v>3.45</v>
      </c>
      <c r="G107" s="75">
        <v>24</v>
      </c>
      <c r="H107" s="91">
        <v>82.8</v>
      </c>
      <c r="I107" s="91">
        <v>63.5</v>
      </c>
      <c r="J107" s="72" t="s">
        <v>14</v>
      </c>
      <c r="K107" s="96">
        <f t="shared" ref="K107:K115" si="8">VLOOKUP(A107,tabelas,2,FALSE)</f>
        <v>117.59</v>
      </c>
      <c r="L107" s="98">
        <f t="shared" si="7"/>
        <v>282.21600000000001</v>
      </c>
    </row>
    <row r="108" spans="1:12" x14ac:dyDescent="0.3">
      <c r="A108" s="75">
        <v>184700</v>
      </c>
      <c r="B108" s="75" t="s">
        <v>168</v>
      </c>
      <c r="C108" s="75" t="s">
        <v>163</v>
      </c>
      <c r="D108" s="75" t="s">
        <v>13</v>
      </c>
      <c r="E108" s="75">
        <v>4</v>
      </c>
      <c r="F108" s="75">
        <v>2.2799999999999998</v>
      </c>
      <c r="G108" s="75">
        <v>36</v>
      </c>
      <c r="H108" s="91">
        <v>82.08</v>
      </c>
      <c r="I108" s="91">
        <v>46</v>
      </c>
      <c r="J108" s="72" t="s">
        <v>14</v>
      </c>
      <c r="K108" s="96">
        <f t="shared" si="8"/>
        <v>116.05</v>
      </c>
      <c r="L108" s="98">
        <f t="shared" si="7"/>
        <v>278.52</v>
      </c>
    </row>
    <row r="109" spans="1:12" x14ac:dyDescent="0.3">
      <c r="A109" s="86" t="s">
        <v>58</v>
      </c>
      <c r="B109" s="86" t="s">
        <v>59</v>
      </c>
      <c r="C109" s="86" t="s">
        <v>57</v>
      </c>
      <c r="D109" s="86" t="s">
        <v>37</v>
      </c>
      <c r="E109" s="87">
        <v>3</v>
      </c>
      <c r="F109" s="87">
        <v>2.02</v>
      </c>
      <c r="G109" s="87">
        <v>32</v>
      </c>
      <c r="H109" s="87">
        <v>64.64</v>
      </c>
      <c r="I109" s="88">
        <v>46</v>
      </c>
      <c r="J109" s="86" t="s">
        <v>41</v>
      </c>
      <c r="K109" s="96">
        <f t="shared" si="8"/>
        <v>53.79</v>
      </c>
      <c r="L109" s="98">
        <f t="shared" si="7"/>
        <v>129.096</v>
      </c>
    </row>
    <row r="110" spans="1:12" x14ac:dyDescent="0.3">
      <c r="A110" s="72" t="s">
        <v>61</v>
      </c>
      <c r="B110" s="72" t="s">
        <v>62</v>
      </c>
      <c r="C110" s="72" t="s">
        <v>57</v>
      </c>
      <c r="D110" s="72" t="s">
        <v>37</v>
      </c>
      <c r="E110" s="73">
        <v>3</v>
      </c>
      <c r="F110" s="73">
        <v>2.02</v>
      </c>
      <c r="G110" s="87">
        <v>32</v>
      </c>
      <c r="H110" s="87">
        <v>64.64</v>
      </c>
      <c r="I110" s="74">
        <v>46</v>
      </c>
      <c r="J110" s="72" t="s">
        <v>41</v>
      </c>
      <c r="K110" s="96">
        <f t="shared" si="8"/>
        <v>53.79</v>
      </c>
      <c r="L110" s="98">
        <f t="shared" si="7"/>
        <v>129.096</v>
      </c>
    </row>
    <row r="111" spans="1:12" x14ac:dyDescent="0.3">
      <c r="A111" s="72" t="s">
        <v>63</v>
      </c>
      <c r="B111" s="72" t="s">
        <v>40</v>
      </c>
      <c r="C111" s="72" t="s">
        <v>57</v>
      </c>
      <c r="D111" s="72" t="s">
        <v>37</v>
      </c>
      <c r="E111" s="73">
        <v>3</v>
      </c>
      <c r="F111" s="73">
        <v>2.02</v>
      </c>
      <c r="G111" s="87">
        <v>32</v>
      </c>
      <c r="H111" s="87">
        <v>64.64</v>
      </c>
      <c r="I111" s="74">
        <v>46</v>
      </c>
      <c r="J111" s="72" t="s">
        <v>41</v>
      </c>
      <c r="K111" s="96">
        <f t="shared" si="8"/>
        <v>53.79</v>
      </c>
      <c r="L111" s="98">
        <f t="shared" si="7"/>
        <v>129.096</v>
      </c>
    </row>
    <row r="112" spans="1:12" x14ac:dyDescent="0.3">
      <c r="A112" s="72" t="s">
        <v>64</v>
      </c>
      <c r="B112" s="72" t="s">
        <v>65</v>
      </c>
      <c r="C112" s="72" t="s">
        <v>57</v>
      </c>
      <c r="D112" s="72" t="s">
        <v>37</v>
      </c>
      <c r="E112" s="73">
        <v>3</v>
      </c>
      <c r="F112" s="73">
        <v>2.02</v>
      </c>
      <c r="G112" s="73">
        <v>32</v>
      </c>
      <c r="H112" s="73">
        <v>64.64</v>
      </c>
      <c r="I112" s="74">
        <v>46</v>
      </c>
      <c r="J112" s="72" t="s">
        <v>41</v>
      </c>
      <c r="K112" s="96">
        <f t="shared" si="8"/>
        <v>53.79</v>
      </c>
      <c r="L112" s="98">
        <f t="shared" si="7"/>
        <v>129.096</v>
      </c>
    </row>
    <row r="113" spans="1:12" x14ac:dyDescent="0.3">
      <c r="A113" s="72" t="s">
        <v>66</v>
      </c>
      <c r="B113" s="72" t="s">
        <v>67</v>
      </c>
      <c r="C113" s="72" t="s">
        <v>57</v>
      </c>
      <c r="D113" s="72" t="s">
        <v>37</v>
      </c>
      <c r="E113" s="73">
        <v>3</v>
      </c>
      <c r="F113" s="73">
        <v>2.02</v>
      </c>
      <c r="G113" s="73">
        <v>32</v>
      </c>
      <c r="H113" s="73">
        <v>64.64</v>
      </c>
      <c r="I113" s="74">
        <v>46</v>
      </c>
      <c r="J113" s="72" t="s">
        <v>41</v>
      </c>
      <c r="K113" s="96">
        <f t="shared" si="8"/>
        <v>53.79</v>
      </c>
      <c r="L113" s="98">
        <f t="shared" si="7"/>
        <v>129.096</v>
      </c>
    </row>
    <row r="114" spans="1:12" x14ac:dyDescent="0.3">
      <c r="A114" s="72" t="s">
        <v>107</v>
      </c>
      <c r="B114" s="72" t="s">
        <v>108</v>
      </c>
      <c r="C114" s="72" t="s">
        <v>57</v>
      </c>
      <c r="D114" s="72" t="s">
        <v>37</v>
      </c>
      <c r="E114" s="73">
        <v>3</v>
      </c>
      <c r="F114" s="73">
        <v>2.02</v>
      </c>
      <c r="G114" s="73">
        <v>32</v>
      </c>
      <c r="H114" s="73">
        <v>64.64</v>
      </c>
      <c r="I114" s="74">
        <v>46</v>
      </c>
      <c r="J114" s="72" t="s">
        <v>41</v>
      </c>
      <c r="K114" s="96">
        <f t="shared" si="8"/>
        <v>53.79</v>
      </c>
      <c r="L114" s="98">
        <f t="shared" si="7"/>
        <v>129.096</v>
      </c>
    </row>
    <row r="115" spans="1:12" x14ac:dyDescent="0.3">
      <c r="A115" s="72" t="s">
        <v>110</v>
      </c>
      <c r="B115" s="72" t="s">
        <v>111</v>
      </c>
      <c r="C115" s="72" t="s">
        <v>57</v>
      </c>
      <c r="D115" s="72" t="s">
        <v>37</v>
      </c>
      <c r="E115" s="73">
        <v>3</v>
      </c>
      <c r="F115" s="73">
        <v>2.02</v>
      </c>
      <c r="G115" s="73">
        <v>32</v>
      </c>
      <c r="H115" s="73">
        <v>64.64</v>
      </c>
      <c r="I115" s="74">
        <v>46</v>
      </c>
      <c r="J115" s="72" t="s">
        <v>41</v>
      </c>
      <c r="K115" s="96">
        <f t="shared" si="8"/>
        <v>52.69</v>
      </c>
      <c r="L115" s="98">
        <f t="shared" si="7"/>
        <v>126.45599999999999</v>
      </c>
    </row>
    <row r="116" spans="1:12" x14ac:dyDescent="0.3">
      <c r="A116" s="82" t="s">
        <v>276</v>
      </c>
      <c r="B116" s="82" t="s">
        <v>277</v>
      </c>
      <c r="C116" s="82" t="s">
        <v>57</v>
      </c>
      <c r="D116" s="82" t="s">
        <v>37</v>
      </c>
      <c r="E116" s="84">
        <v>3</v>
      </c>
      <c r="F116" s="84">
        <v>2.02</v>
      </c>
      <c r="G116" s="84">
        <v>32</v>
      </c>
      <c r="H116" s="84">
        <v>64.64</v>
      </c>
      <c r="I116" s="89">
        <v>46</v>
      </c>
      <c r="J116" s="82" t="s">
        <v>41</v>
      </c>
      <c r="K116" s="97">
        <v>52.69</v>
      </c>
      <c r="L116" s="98">
        <f t="shared" si="7"/>
        <v>126.45599999999999</v>
      </c>
    </row>
    <row r="117" spans="1:12" x14ac:dyDescent="0.3">
      <c r="A117" s="72" t="s">
        <v>39</v>
      </c>
      <c r="B117" s="72" t="s">
        <v>40</v>
      </c>
      <c r="C117" s="72" t="s">
        <v>123</v>
      </c>
      <c r="D117" s="72" t="s">
        <v>37</v>
      </c>
      <c r="E117" s="73">
        <v>3</v>
      </c>
      <c r="F117" s="73">
        <v>2.2599999999999998</v>
      </c>
      <c r="G117" s="73">
        <v>28</v>
      </c>
      <c r="H117" s="73">
        <v>63.28</v>
      </c>
      <c r="I117" s="74">
        <v>48</v>
      </c>
      <c r="J117" s="72" t="s">
        <v>41</v>
      </c>
      <c r="K117" s="96">
        <f t="shared" ref="K117:K132" si="9">VLOOKUP(A117,tabelas,2,FALSE)</f>
        <v>58.19</v>
      </c>
      <c r="L117" s="98">
        <f t="shared" si="7"/>
        <v>139.65599999999998</v>
      </c>
    </row>
    <row r="118" spans="1:12" x14ac:dyDescent="0.3">
      <c r="A118" s="72" t="s">
        <v>42</v>
      </c>
      <c r="B118" s="72" t="s">
        <v>43</v>
      </c>
      <c r="C118" s="72" t="s">
        <v>123</v>
      </c>
      <c r="D118" s="72" t="s">
        <v>37</v>
      </c>
      <c r="E118" s="73">
        <v>3</v>
      </c>
      <c r="F118" s="73">
        <v>2.2599999999999998</v>
      </c>
      <c r="G118" s="73">
        <v>28</v>
      </c>
      <c r="H118" s="73">
        <v>63.28</v>
      </c>
      <c r="I118" s="74">
        <v>48</v>
      </c>
      <c r="J118" s="72" t="s">
        <v>38</v>
      </c>
      <c r="K118" s="96">
        <f t="shared" si="9"/>
        <v>57.64</v>
      </c>
      <c r="L118" s="98">
        <f t="shared" si="7"/>
        <v>138.33599999999998</v>
      </c>
    </row>
    <row r="119" spans="1:12" x14ac:dyDescent="0.3">
      <c r="A119" s="72" t="s">
        <v>44</v>
      </c>
      <c r="B119" s="72" t="s">
        <v>45</v>
      </c>
      <c r="C119" s="72" t="s">
        <v>123</v>
      </c>
      <c r="D119" s="72" t="s">
        <v>37</v>
      </c>
      <c r="E119" s="73">
        <v>3</v>
      </c>
      <c r="F119" s="74">
        <v>2.2599999999999998</v>
      </c>
      <c r="G119" s="73">
        <v>28</v>
      </c>
      <c r="H119" s="74">
        <v>63.28</v>
      </c>
      <c r="I119" s="74">
        <v>48</v>
      </c>
      <c r="J119" s="72" t="s">
        <v>41</v>
      </c>
      <c r="K119" s="96">
        <f t="shared" si="9"/>
        <v>58.19</v>
      </c>
      <c r="L119" s="98">
        <f t="shared" si="7"/>
        <v>139.65599999999998</v>
      </c>
    </row>
    <row r="120" spans="1:12" x14ac:dyDescent="0.3">
      <c r="A120" s="72" t="s">
        <v>46</v>
      </c>
      <c r="B120" s="72" t="s">
        <v>47</v>
      </c>
      <c r="C120" s="72" t="s">
        <v>123</v>
      </c>
      <c r="D120" s="72" t="s">
        <v>37</v>
      </c>
      <c r="E120" s="73">
        <v>3</v>
      </c>
      <c r="F120" s="74">
        <v>2.2599999999999998</v>
      </c>
      <c r="G120" s="73">
        <v>28</v>
      </c>
      <c r="H120" s="74">
        <v>63.28</v>
      </c>
      <c r="I120" s="74">
        <v>48</v>
      </c>
      <c r="J120" s="72" t="s">
        <v>41</v>
      </c>
      <c r="K120" s="96">
        <f t="shared" si="9"/>
        <v>62.59</v>
      </c>
      <c r="L120" s="98">
        <f t="shared" si="7"/>
        <v>150.21600000000001</v>
      </c>
    </row>
    <row r="121" spans="1:12" x14ac:dyDescent="0.3">
      <c r="A121" s="72" t="s">
        <v>48</v>
      </c>
      <c r="B121" s="72" t="s">
        <v>49</v>
      </c>
      <c r="C121" s="72" t="s">
        <v>123</v>
      </c>
      <c r="D121" s="72" t="s">
        <v>37</v>
      </c>
      <c r="E121" s="73">
        <v>3</v>
      </c>
      <c r="F121" s="74">
        <v>2.2599999999999998</v>
      </c>
      <c r="G121" s="73">
        <v>28</v>
      </c>
      <c r="H121" s="74">
        <v>63.28</v>
      </c>
      <c r="I121" s="74">
        <v>48</v>
      </c>
      <c r="J121" s="72" t="s">
        <v>41</v>
      </c>
      <c r="K121" s="96">
        <f t="shared" si="9"/>
        <v>57.64</v>
      </c>
      <c r="L121" s="98">
        <f t="shared" si="7"/>
        <v>138.33599999999998</v>
      </c>
    </row>
    <row r="122" spans="1:12" x14ac:dyDescent="0.3">
      <c r="A122" s="72" t="s">
        <v>51</v>
      </c>
      <c r="B122" s="72" t="s">
        <v>52</v>
      </c>
      <c r="C122" s="72" t="s">
        <v>123</v>
      </c>
      <c r="D122" s="72" t="s">
        <v>37</v>
      </c>
      <c r="E122" s="73">
        <v>3</v>
      </c>
      <c r="F122" s="74">
        <v>2.2599999999999998</v>
      </c>
      <c r="G122" s="73">
        <v>28</v>
      </c>
      <c r="H122" s="74">
        <v>63.28</v>
      </c>
      <c r="I122" s="74">
        <v>48</v>
      </c>
      <c r="J122" s="72" t="s">
        <v>41</v>
      </c>
      <c r="K122" s="96">
        <f t="shared" si="9"/>
        <v>57.64</v>
      </c>
      <c r="L122" s="98">
        <f t="shared" si="7"/>
        <v>138.33599999999998</v>
      </c>
    </row>
    <row r="123" spans="1:12" x14ac:dyDescent="0.3">
      <c r="A123" s="72" t="s">
        <v>101</v>
      </c>
      <c r="B123" s="72" t="s">
        <v>102</v>
      </c>
      <c r="C123" s="72" t="s">
        <v>123</v>
      </c>
      <c r="D123" s="72" t="s">
        <v>37</v>
      </c>
      <c r="E123" s="73">
        <v>3</v>
      </c>
      <c r="F123" s="74">
        <v>2.2599999999999998</v>
      </c>
      <c r="G123" s="73">
        <v>28</v>
      </c>
      <c r="H123" s="74">
        <v>63.28</v>
      </c>
      <c r="I123" s="74">
        <v>48</v>
      </c>
      <c r="J123" s="72" t="s">
        <v>41</v>
      </c>
      <c r="K123" s="96">
        <f t="shared" si="9"/>
        <v>57.64</v>
      </c>
      <c r="L123" s="98">
        <f t="shared" si="7"/>
        <v>138.33599999999998</v>
      </c>
    </row>
    <row r="124" spans="1:12" x14ac:dyDescent="0.3">
      <c r="A124" s="72" t="s">
        <v>103</v>
      </c>
      <c r="B124" s="72" t="s">
        <v>104</v>
      </c>
      <c r="C124" s="72" t="s">
        <v>123</v>
      </c>
      <c r="D124" s="72" t="s">
        <v>37</v>
      </c>
      <c r="E124" s="73">
        <v>3</v>
      </c>
      <c r="F124" s="74">
        <v>2.2599999999999998</v>
      </c>
      <c r="G124" s="73">
        <v>28</v>
      </c>
      <c r="H124" s="74">
        <v>63.28</v>
      </c>
      <c r="I124" s="74">
        <v>48</v>
      </c>
      <c r="J124" s="72" t="s">
        <v>41</v>
      </c>
      <c r="K124" s="96">
        <f t="shared" si="9"/>
        <v>57.64</v>
      </c>
      <c r="L124" s="98">
        <f t="shared" si="7"/>
        <v>138.33599999999998</v>
      </c>
    </row>
    <row r="125" spans="1:12" x14ac:dyDescent="0.3">
      <c r="A125" s="72" t="s">
        <v>105</v>
      </c>
      <c r="B125" s="72" t="s">
        <v>106</v>
      </c>
      <c r="C125" s="72" t="s">
        <v>123</v>
      </c>
      <c r="D125" s="72" t="s">
        <v>37</v>
      </c>
      <c r="E125" s="73">
        <v>3</v>
      </c>
      <c r="F125" s="74">
        <v>2.2599999999999998</v>
      </c>
      <c r="G125" s="73">
        <v>28</v>
      </c>
      <c r="H125" s="74">
        <v>63.28</v>
      </c>
      <c r="I125" s="74">
        <v>48</v>
      </c>
      <c r="J125" s="72" t="s">
        <v>41</v>
      </c>
      <c r="K125" s="96">
        <f t="shared" si="9"/>
        <v>57.64</v>
      </c>
      <c r="L125" s="98">
        <f t="shared" si="7"/>
        <v>138.33599999999998</v>
      </c>
    </row>
    <row r="126" spans="1:12" x14ac:dyDescent="0.3">
      <c r="A126" s="72" t="s">
        <v>124</v>
      </c>
      <c r="B126" s="72" t="s">
        <v>128</v>
      </c>
      <c r="C126" s="72" t="s">
        <v>123</v>
      </c>
      <c r="D126" s="72" t="s">
        <v>37</v>
      </c>
      <c r="E126" s="73">
        <v>3</v>
      </c>
      <c r="F126" s="74">
        <v>2.2599999999999998</v>
      </c>
      <c r="G126" s="73">
        <v>28</v>
      </c>
      <c r="H126" s="74">
        <v>63.28</v>
      </c>
      <c r="I126" s="74">
        <v>48</v>
      </c>
      <c r="J126" s="72" t="s">
        <v>41</v>
      </c>
      <c r="K126" s="96">
        <f t="shared" si="9"/>
        <v>64.790000000000006</v>
      </c>
      <c r="L126" s="98">
        <f t="shared" si="7"/>
        <v>155.49600000000001</v>
      </c>
    </row>
    <row r="127" spans="1:12" x14ac:dyDescent="0.3">
      <c r="A127" s="72" t="s">
        <v>125</v>
      </c>
      <c r="B127" s="72" t="s">
        <v>129</v>
      </c>
      <c r="C127" s="72" t="s">
        <v>123</v>
      </c>
      <c r="D127" s="72" t="s">
        <v>37</v>
      </c>
      <c r="E127" s="73">
        <v>3</v>
      </c>
      <c r="F127" s="74">
        <v>2.2599999999999998</v>
      </c>
      <c r="G127" s="73">
        <v>28</v>
      </c>
      <c r="H127" s="74">
        <v>63.28</v>
      </c>
      <c r="I127" s="74">
        <v>48</v>
      </c>
      <c r="J127" s="72" t="s">
        <v>41</v>
      </c>
      <c r="K127" s="96">
        <f t="shared" si="9"/>
        <v>58.19</v>
      </c>
      <c r="L127" s="98">
        <f t="shared" si="7"/>
        <v>139.65599999999998</v>
      </c>
    </row>
    <row r="128" spans="1:12" x14ac:dyDescent="0.3">
      <c r="A128" s="72" t="s">
        <v>186</v>
      </c>
      <c r="B128" s="72" t="s">
        <v>187</v>
      </c>
      <c r="C128" s="72" t="s">
        <v>123</v>
      </c>
      <c r="D128" s="72" t="s">
        <v>37</v>
      </c>
      <c r="E128" s="73">
        <v>3</v>
      </c>
      <c r="F128" s="74">
        <v>2.2599999999999998</v>
      </c>
      <c r="G128" s="73">
        <v>28</v>
      </c>
      <c r="H128" s="74">
        <v>63.28</v>
      </c>
      <c r="I128" s="74">
        <v>48</v>
      </c>
      <c r="J128" s="72" t="s">
        <v>41</v>
      </c>
      <c r="K128" s="96">
        <f t="shared" si="9"/>
        <v>58.19</v>
      </c>
      <c r="L128" s="98">
        <f t="shared" si="7"/>
        <v>139.65599999999998</v>
      </c>
    </row>
    <row r="129" spans="1:12" x14ac:dyDescent="0.3">
      <c r="A129" s="72" t="s">
        <v>207</v>
      </c>
      <c r="B129" s="72" t="s">
        <v>208</v>
      </c>
      <c r="C129" s="72" t="s">
        <v>123</v>
      </c>
      <c r="D129" s="72" t="s">
        <v>209</v>
      </c>
      <c r="E129" s="73">
        <v>3</v>
      </c>
      <c r="F129" s="73">
        <v>2.2599999999999998</v>
      </c>
      <c r="G129" s="73">
        <v>28</v>
      </c>
      <c r="H129" s="73">
        <v>63.28</v>
      </c>
      <c r="I129" s="76">
        <v>48</v>
      </c>
      <c r="J129" s="72" t="s">
        <v>33</v>
      </c>
      <c r="K129" s="96">
        <f t="shared" si="9"/>
        <v>74.69</v>
      </c>
      <c r="L129" s="98">
        <f t="shared" si="7"/>
        <v>179.256</v>
      </c>
    </row>
    <row r="130" spans="1:12" x14ac:dyDescent="0.3">
      <c r="A130" s="72" t="s">
        <v>210</v>
      </c>
      <c r="B130" s="72" t="s">
        <v>211</v>
      </c>
      <c r="C130" s="72" t="s">
        <v>123</v>
      </c>
      <c r="D130" s="72" t="s">
        <v>209</v>
      </c>
      <c r="E130" s="73">
        <v>3</v>
      </c>
      <c r="F130" s="73">
        <v>2.2599999999999998</v>
      </c>
      <c r="G130" s="73">
        <v>28</v>
      </c>
      <c r="H130" s="73">
        <v>63.28</v>
      </c>
      <c r="I130" s="76">
        <v>48</v>
      </c>
      <c r="J130" s="72" t="s">
        <v>33</v>
      </c>
      <c r="K130" s="96">
        <f t="shared" si="9"/>
        <v>74.69</v>
      </c>
      <c r="L130" s="98">
        <f t="shared" si="7"/>
        <v>179.256</v>
      </c>
    </row>
    <row r="131" spans="1:12" x14ac:dyDescent="0.3">
      <c r="A131" s="72" t="s">
        <v>213</v>
      </c>
      <c r="B131" s="72" t="s">
        <v>214</v>
      </c>
      <c r="C131" s="72" t="s">
        <v>123</v>
      </c>
      <c r="D131" s="72" t="s">
        <v>215</v>
      </c>
      <c r="E131" s="73">
        <v>3</v>
      </c>
      <c r="F131" s="73">
        <v>2.2599999999999998</v>
      </c>
      <c r="G131" s="73">
        <v>28</v>
      </c>
      <c r="H131" s="73">
        <v>63.28</v>
      </c>
      <c r="I131" s="76">
        <v>48</v>
      </c>
      <c r="J131" s="72" t="s">
        <v>41</v>
      </c>
      <c r="K131" s="96">
        <f t="shared" si="9"/>
        <v>64.790000000000006</v>
      </c>
      <c r="L131" s="98">
        <f t="shared" si="7"/>
        <v>155.49600000000001</v>
      </c>
    </row>
    <row r="132" spans="1:12" x14ac:dyDescent="0.3">
      <c r="A132" s="72" t="s">
        <v>216</v>
      </c>
      <c r="B132" s="72" t="s">
        <v>217</v>
      </c>
      <c r="C132" s="72" t="s">
        <v>123</v>
      </c>
      <c r="D132" s="72" t="s">
        <v>37</v>
      </c>
      <c r="E132" s="73">
        <v>3</v>
      </c>
      <c r="F132" s="73">
        <v>2.2599999999999998</v>
      </c>
      <c r="G132" s="73">
        <v>28</v>
      </c>
      <c r="H132" s="73">
        <v>63.28</v>
      </c>
      <c r="I132" s="76">
        <v>48</v>
      </c>
      <c r="J132" s="72" t="s">
        <v>41</v>
      </c>
      <c r="K132" s="96">
        <f t="shared" si="9"/>
        <v>61.49</v>
      </c>
      <c r="L132" s="98">
        <f t="shared" si="7"/>
        <v>147.57599999999999</v>
      </c>
    </row>
    <row r="133" spans="1:12" x14ac:dyDescent="0.3">
      <c r="A133" s="82" t="s">
        <v>269</v>
      </c>
      <c r="B133" s="82" t="s">
        <v>270</v>
      </c>
      <c r="C133" s="82" t="s">
        <v>123</v>
      </c>
      <c r="D133" s="82" t="s">
        <v>37</v>
      </c>
      <c r="E133" s="84">
        <v>3</v>
      </c>
      <c r="F133" s="84">
        <v>2.2599999999999998</v>
      </c>
      <c r="G133" s="84">
        <v>28</v>
      </c>
      <c r="H133" s="84">
        <v>63.28</v>
      </c>
      <c r="I133" s="85">
        <v>48</v>
      </c>
      <c r="J133" s="82" t="s">
        <v>41</v>
      </c>
      <c r="K133" s="97">
        <v>58.19</v>
      </c>
      <c r="L133" s="98">
        <f t="shared" si="7"/>
        <v>139.65599999999998</v>
      </c>
    </row>
    <row r="134" spans="1:12" x14ac:dyDescent="0.3">
      <c r="A134" s="82" t="s">
        <v>271</v>
      </c>
      <c r="B134" s="82" t="s">
        <v>272</v>
      </c>
      <c r="C134" s="82" t="s">
        <v>123</v>
      </c>
      <c r="D134" s="82" t="s">
        <v>37</v>
      </c>
      <c r="E134" s="84">
        <v>3</v>
      </c>
      <c r="F134" s="84">
        <v>2.2599999999999998</v>
      </c>
      <c r="G134" s="84">
        <v>28</v>
      </c>
      <c r="H134" s="84">
        <v>63.28</v>
      </c>
      <c r="I134" s="85">
        <v>48</v>
      </c>
      <c r="J134" s="82" t="s">
        <v>41</v>
      </c>
      <c r="K134" s="97">
        <v>58.19</v>
      </c>
      <c r="L134" s="98">
        <f t="shared" ref="L134:L158" si="10">K134*2.4</f>
        <v>139.65599999999998</v>
      </c>
    </row>
    <row r="135" spans="1:12" x14ac:dyDescent="0.3">
      <c r="A135" s="72" t="s">
        <v>80</v>
      </c>
      <c r="B135" s="72" t="s">
        <v>81</v>
      </c>
      <c r="C135" s="72" t="s">
        <v>79</v>
      </c>
      <c r="D135" s="72" t="s">
        <v>37</v>
      </c>
      <c r="E135" s="73">
        <v>2</v>
      </c>
      <c r="F135" s="73">
        <v>2.95</v>
      </c>
      <c r="G135" s="73">
        <v>20</v>
      </c>
      <c r="H135" s="74">
        <v>59</v>
      </c>
      <c r="I135" s="74">
        <v>68</v>
      </c>
      <c r="J135" s="72" t="s">
        <v>41</v>
      </c>
      <c r="K135" s="96">
        <f>VLOOKUP(A135,tabelas,2,FALSE)</f>
        <v>88.99</v>
      </c>
      <c r="L135" s="98">
        <f t="shared" si="10"/>
        <v>213.57599999999999</v>
      </c>
    </row>
    <row r="136" spans="1:12" x14ac:dyDescent="0.3">
      <c r="A136" s="72" t="s">
        <v>82</v>
      </c>
      <c r="B136" s="72" t="s">
        <v>83</v>
      </c>
      <c r="C136" s="72" t="s">
        <v>79</v>
      </c>
      <c r="D136" s="72" t="s">
        <v>37</v>
      </c>
      <c r="E136" s="73">
        <v>2</v>
      </c>
      <c r="F136" s="73">
        <v>2.95</v>
      </c>
      <c r="G136" s="73">
        <v>20</v>
      </c>
      <c r="H136" s="74">
        <v>59</v>
      </c>
      <c r="I136" s="74">
        <v>68</v>
      </c>
      <c r="J136" s="72" t="s">
        <v>41</v>
      </c>
      <c r="K136" s="96">
        <f>VLOOKUP(A136,tabelas,2,FALSE)</f>
        <v>88.99</v>
      </c>
      <c r="L136" s="98">
        <f t="shared" si="10"/>
        <v>213.57599999999999</v>
      </c>
    </row>
    <row r="137" spans="1:12" x14ac:dyDescent="0.3">
      <c r="A137" s="72" t="s">
        <v>84</v>
      </c>
      <c r="B137" s="72" t="s">
        <v>85</v>
      </c>
      <c r="C137" s="72" t="s">
        <v>79</v>
      </c>
      <c r="D137" s="72" t="s">
        <v>37</v>
      </c>
      <c r="E137" s="73">
        <v>2</v>
      </c>
      <c r="F137" s="73">
        <v>2.95</v>
      </c>
      <c r="G137" s="73">
        <v>20</v>
      </c>
      <c r="H137" s="74">
        <v>59</v>
      </c>
      <c r="I137" s="74">
        <v>68</v>
      </c>
      <c r="J137" s="72" t="s">
        <v>41</v>
      </c>
      <c r="K137" s="96">
        <f>VLOOKUP(A137,tabelas,2,FALSE)</f>
        <v>87.89</v>
      </c>
      <c r="L137" s="98">
        <f t="shared" si="10"/>
        <v>210.93600000000001</v>
      </c>
    </row>
    <row r="138" spans="1:12" x14ac:dyDescent="0.3">
      <c r="A138" s="72" t="s">
        <v>86</v>
      </c>
      <c r="B138" s="72" t="s">
        <v>87</v>
      </c>
      <c r="C138" s="72" t="s">
        <v>79</v>
      </c>
      <c r="D138" s="72" t="s">
        <v>37</v>
      </c>
      <c r="E138" s="73">
        <v>2</v>
      </c>
      <c r="F138" s="73">
        <v>2.95</v>
      </c>
      <c r="G138" s="73">
        <v>20</v>
      </c>
      <c r="H138" s="74">
        <v>59</v>
      </c>
      <c r="I138" s="74">
        <v>68</v>
      </c>
      <c r="J138" s="72" t="s">
        <v>41</v>
      </c>
      <c r="K138" s="96">
        <f>VLOOKUP(A138,tabelas,2,FALSE)</f>
        <v>87.89</v>
      </c>
      <c r="L138" s="98">
        <f t="shared" si="10"/>
        <v>210.93600000000001</v>
      </c>
    </row>
    <row r="139" spans="1:12" x14ac:dyDescent="0.3">
      <c r="A139" s="72" t="s">
        <v>188</v>
      </c>
      <c r="B139" s="72" t="s">
        <v>189</v>
      </c>
      <c r="C139" s="72" t="s">
        <v>79</v>
      </c>
      <c r="D139" s="72" t="s">
        <v>37</v>
      </c>
      <c r="E139" s="73">
        <v>2</v>
      </c>
      <c r="F139" s="73">
        <v>2.95</v>
      </c>
      <c r="G139" s="73">
        <v>20</v>
      </c>
      <c r="H139" s="74">
        <v>59</v>
      </c>
      <c r="I139" s="74">
        <v>68</v>
      </c>
      <c r="J139" s="72" t="s">
        <v>41</v>
      </c>
      <c r="K139" s="96">
        <f>VLOOKUP(A139,tabelas,2,FALSE)</f>
        <v>91.19</v>
      </c>
      <c r="L139" s="98">
        <f t="shared" si="10"/>
        <v>218.85599999999999</v>
      </c>
    </row>
    <row r="140" spans="1:12" x14ac:dyDescent="0.3">
      <c r="A140" s="82" t="s">
        <v>263</v>
      </c>
      <c r="B140" s="82" t="s">
        <v>264</v>
      </c>
      <c r="C140" s="82" t="s">
        <v>79</v>
      </c>
      <c r="D140" s="82" t="s">
        <v>37</v>
      </c>
      <c r="E140" s="84">
        <v>2</v>
      </c>
      <c r="F140" s="84">
        <v>2.95</v>
      </c>
      <c r="G140" s="84">
        <v>20</v>
      </c>
      <c r="H140" s="89">
        <v>59</v>
      </c>
      <c r="I140" s="89">
        <v>68</v>
      </c>
      <c r="J140" s="82" t="s">
        <v>41</v>
      </c>
      <c r="K140" s="97">
        <v>87.89</v>
      </c>
      <c r="L140" s="98">
        <f t="shared" si="10"/>
        <v>210.93600000000001</v>
      </c>
    </row>
    <row r="141" spans="1:12" x14ac:dyDescent="0.3">
      <c r="A141" s="82" t="s">
        <v>265</v>
      </c>
      <c r="B141" s="82" t="s">
        <v>266</v>
      </c>
      <c r="C141" s="82" t="s">
        <v>79</v>
      </c>
      <c r="D141" s="82" t="s">
        <v>37</v>
      </c>
      <c r="E141" s="84">
        <v>2</v>
      </c>
      <c r="F141" s="84">
        <v>2.95</v>
      </c>
      <c r="G141" s="84">
        <v>20</v>
      </c>
      <c r="H141" s="89">
        <v>59</v>
      </c>
      <c r="I141" s="89">
        <v>68</v>
      </c>
      <c r="J141" s="82" t="s">
        <v>41</v>
      </c>
      <c r="K141" s="97">
        <v>87.89</v>
      </c>
      <c r="L141" s="98">
        <f t="shared" si="10"/>
        <v>210.93600000000001</v>
      </c>
    </row>
    <row r="142" spans="1:12" x14ac:dyDescent="0.3">
      <c r="A142" s="72" t="s">
        <v>172</v>
      </c>
      <c r="B142" s="72" t="s">
        <v>120</v>
      </c>
      <c r="C142" s="72" t="s">
        <v>170</v>
      </c>
      <c r="D142" s="72" t="s">
        <v>37</v>
      </c>
      <c r="E142" s="86">
        <v>5</v>
      </c>
      <c r="F142" s="86">
        <v>2.52</v>
      </c>
      <c r="G142" s="86">
        <v>32</v>
      </c>
      <c r="H142" s="86">
        <v>80.64</v>
      </c>
      <c r="I142" s="90">
        <v>40</v>
      </c>
      <c r="J142" s="72" t="s">
        <v>38</v>
      </c>
      <c r="K142" s="96">
        <f t="shared" ref="K142:K153" si="11">VLOOKUP(A142,tabelas,2,FALSE)</f>
        <v>46.09</v>
      </c>
      <c r="L142" s="98">
        <f t="shared" si="10"/>
        <v>110.616</v>
      </c>
    </row>
    <row r="143" spans="1:12" x14ac:dyDescent="0.3">
      <c r="A143" s="72" t="s">
        <v>173</v>
      </c>
      <c r="B143" s="72" t="s">
        <v>116</v>
      </c>
      <c r="C143" s="72" t="s">
        <v>170</v>
      </c>
      <c r="D143" s="72" t="s">
        <v>37</v>
      </c>
      <c r="E143" s="86">
        <v>5</v>
      </c>
      <c r="F143" s="86">
        <v>2.52</v>
      </c>
      <c r="G143" s="86">
        <v>32</v>
      </c>
      <c r="H143" s="86">
        <v>80.64</v>
      </c>
      <c r="I143" s="90">
        <v>40</v>
      </c>
      <c r="J143" s="72" t="s">
        <v>38</v>
      </c>
      <c r="K143" s="96">
        <f t="shared" si="11"/>
        <v>47.19</v>
      </c>
      <c r="L143" s="98">
        <f t="shared" si="10"/>
        <v>113.25599999999999</v>
      </c>
    </row>
    <row r="144" spans="1:12" x14ac:dyDescent="0.3">
      <c r="A144" s="72" t="s">
        <v>174</v>
      </c>
      <c r="B144" s="72" t="s">
        <v>117</v>
      </c>
      <c r="C144" s="72" t="s">
        <v>170</v>
      </c>
      <c r="D144" s="72" t="s">
        <v>37</v>
      </c>
      <c r="E144" s="86">
        <v>5</v>
      </c>
      <c r="F144" s="86">
        <v>2.52</v>
      </c>
      <c r="G144" s="86">
        <v>32</v>
      </c>
      <c r="H144" s="86">
        <v>80.64</v>
      </c>
      <c r="I144" s="90">
        <v>40</v>
      </c>
      <c r="J144" s="72" t="s">
        <v>38</v>
      </c>
      <c r="K144" s="96">
        <f t="shared" si="11"/>
        <v>48.29</v>
      </c>
      <c r="L144" s="98">
        <f t="shared" si="10"/>
        <v>115.89599999999999</v>
      </c>
    </row>
    <row r="145" spans="1:12" x14ac:dyDescent="0.3">
      <c r="A145" s="72" t="s">
        <v>227</v>
      </c>
      <c r="B145" s="72" t="s">
        <v>228</v>
      </c>
      <c r="C145" s="72" t="s">
        <v>170</v>
      </c>
      <c r="D145" s="72" t="s">
        <v>37</v>
      </c>
      <c r="E145" s="72">
        <v>5</v>
      </c>
      <c r="F145" s="72">
        <v>2.52</v>
      </c>
      <c r="G145" s="72">
        <v>32</v>
      </c>
      <c r="H145" s="72">
        <v>80.64</v>
      </c>
      <c r="I145" s="79">
        <v>40</v>
      </c>
      <c r="J145" s="72" t="s">
        <v>38</v>
      </c>
      <c r="K145" s="96">
        <f t="shared" si="11"/>
        <v>48.29</v>
      </c>
      <c r="L145" s="98">
        <f t="shared" si="10"/>
        <v>115.89599999999999</v>
      </c>
    </row>
    <row r="146" spans="1:12" x14ac:dyDescent="0.3">
      <c r="A146" s="75" t="s">
        <v>143</v>
      </c>
      <c r="B146" s="75" t="s">
        <v>177</v>
      </c>
      <c r="C146" s="75" t="s">
        <v>154</v>
      </c>
      <c r="D146" s="75" t="s">
        <v>37</v>
      </c>
      <c r="E146" s="75">
        <v>3</v>
      </c>
      <c r="F146" s="75">
        <v>2.65</v>
      </c>
      <c r="G146" s="75">
        <v>24</v>
      </c>
      <c r="H146" s="91">
        <v>63.6</v>
      </c>
      <c r="I146" s="91">
        <v>46</v>
      </c>
      <c r="J146" s="75" t="s">
        <v>38</v>
      </c>
      <c r="K146" s="96">
        <f t="shared" si="11"/>
        <v>57.09</v>
      </c>
      <c r="L146" s="98">
        <f t="shared" si="10"/>
        <v>137.01599999999999</v>
      </c>
    </row>
    <row r="147" spans="1:12" x14ac:dyDescent="0.3">
      <c r="A147" s="75" t="s">
        <v>144</v>
      </c>
      <c r="B147" s="75" t="s">
        <v>155</v>
      </c>
      <c r="C147" s="75" t="s">
        <v>154</v>
      </c>
      <c r="D147" s="75" t="s">
        <v>37</v>
      </c>
      <c r="E147" s="75">
        <v>3</v>
      </c>
      <c r="F147" s="75">
        <v>2.65</v>
      </c>
      <c r="G147" s="75">
        <v>24</v>
      </c>
      <c r="H147" s="91">
        <v>63.6</v>
      </c>
      <c r="I147" s="91">
        <v>46</v>
      </c>
      <c r="J147" s="75" t="s">
        <v>38</v>
      </c>
      <c r="K147" s="96">
        <f t="shared" si="11"/>
        <v>57.09</v>
      </c>
      <c r="L147" s="98">
        <f t="shared" si="10"/>
        <v>137.01599999999999</v>
      </c>
    </row>
    <row r="148" spans="1:12" x14ac:dyDescent="0.3">
      <c r="A148" s="75" t="s">
        <v>145</v>
      </c>
      <c r="B148" s="75" t="s">
        <v>156</v>
      </c>
      <c r="C148" s="75" t="s">
        <v>154</v>
      </c>
      <c r="D148" s="75" t="s">
        <v>37</v>
      </c>
      <c r="E148" s="75">
        <v>3</v>
      </c>
      <c r="F148" s="75">
        <v>2.65</v>
      </c>
      <c r="G148" s="75">
        <v>24</v>
      </c>
      <c r="H148" s="91">
        <v>63.6</v>
      </c>
      <c r="I148" s="91">
        <v>46</v>
      </c>
      <c r="J148" s="75" t="s">
        <v>38</v>
      </c>
      <c r="K148" s="96">
        <f t="shared" si="11"/>
        <v>61.49</v>
      </c>
      <c r="L148" s="98">
        <f t="shared" si="10"/>
        <v>147.57599999999999</v>
      </c>
    </row>
    <row r="149" spans="1:12" x14ac:dyDescent="0.3">
      <c r="A149" s="75" t="s">
        <v>146</v>
      </c>
      <c r="B149" s="75" t="s">
        <v>157</v>
      </c>
      <c r="C149" s="75" t="s">
        <v>154</v>
      </c>
      <c r="D149" s="75" t="s">
        <v>37</v>
      </c>
      <c r="E149" s="75">
        <v>3</v>
      </c>
      <c r="F149" s="75">
        <v>2.65</v>
      </c>
      <c r="G149" s="75">
        <v>24</v>
      </c>
      <c r="H149" s="91">
        <v>63.6</v>
      </c>
      <c r="I149" s="91">
        <v>46</v>
      </c>
      <c r="J149" s="75" t="s">
        <v>38</v>
      </c>
      <c r="K149" s="96">
        <f t="shared" si="11"/>
        <v>57.09</v>
      </c>
      <c r="L149" s="98">
        <f t="shared" si="10"/>
        <v>137.01599999999999</v>
      </c>
    </row>
    <row r="150" spans="1:12" x14ac:dyDescent="0.3">
      <c r="A150" s="75" t="s">
        <v>147</v>
      </c>
      <c r="B150" s="75" t="s">
        <v>158</v>
      </c>
      <c r="C150" s="75" t="s">
        <v>154</v>
      </c>
      <c r="D150" s="75" t="s">
        <v>37</v>
      </c>
      <c r="E150" s="75">
        <v>3</v>
      </c>
      <c r="F150" s="75">
        <v>2.65</v>
      </c>
      <c r="G150" s="75">
        <v>24</v>
      </c>
      <c r="H150" s="91">
        <v>63.6</v>
      </c>
      <c r="I150" s="91">
        <v>46</v>
      </c>
      <c r="J150" s="75" t="s">
        <v>38</v>
      </c>
      <c r="K150" s="96">
        <f t="shared" si="11"/>
        <v>66.989999999999995</v>
      </c>
      <c r="L150" s="98">
        <f t="shared" si="10"/>
        <v>160.77599999999998</v>
      </c>
    </row>
    <row r="151" spans="1:12" x14ac:dyDescent="0.3">
      <c r="A151" s="75" t="s">
        <v>148</v>
      </c>
      <c r="B151" s="75" t="s">
        <v>159</v>
      </c>
      <c r="C151" s="75" t="s">
        <v>154</v>
      </c>
      <c r="D151" s="75" t="s">
        <v>37</v>
      </c>
      <c r="E151" s="75">
        <v>3</v>
      </c>
      <c r="F151" s="75">
        <v>2.65</v>
      </c>
      <c r="G151" s="75">
        <v>24</v>
      </c>
      <c r="H151" s="91">
        <v>63.6</v>
      </c>
      <c r="I151" s="91">
        <v>46</v>
      </c>
      <c r="J151" s="75" t="s">
        <v>38</v>
      </c>
      <c r="K151" s="96">
        <f t="shared" si="11"/>
        <v>60.39</v>
      </c>
      <c r="L151" s="98">
        <f t="shared" si="10"/>
        <v>144.93600000000001</v>
      </c>
    </row>
    <row r="152" spans="1:12" x14ac:dyDescent="0.3">
      <c r="A152" s="75" t="s">
        <v>149</v>
      </c>
      <c r="B152" s="75" t="s">
        <v>160</v>
      </c>
      <c r="C152" s="75" t="s">
        <v>154</v>
      </c>
      <c r="D152" s="75" t="s">
        <v>37</v>
      </c>
      <c r="E152" s="75">
        <v>3</v>
      </c>
      <c r="F152" s="75">
        <v>2.65</v>
      </c>
      <c r="G152" s="75">
        <v>24</v>
      </c>
      <c r="H152" s="91">
        <v>63.6</v>
      </c>
      <c r="I152" s="91">
        <v>46</v>
      </c>
      <c r="J152" s="75" t="s">
        <v>38</v>
      </c>
      <c r="K152" s="96">
        <f t="shared" si="11"/>
        <v>60.39</v>
      </c>
      <c r="L152" s="98">
        <f t="shared" si="10"/>
        <v>144.93600000000001</v>
      </c>
    </row>
    <row r="153" spans="1:12" x14ac:dyDescent="0.3">
      <c r="A153" s="75" t="s">
        <v>231</v>
      </c>
      <c r="B153" s="75" t="s">
        <v>232</v>
      </c>
      <c r="C153" s="75" t="s">
        <v>154</v>
      </c>
      <c r="D153" s="75" t="s">
        <v>37</v>
      </c>
      <c r="E153" s="75">
        <v>3</v>
      </c>
      <c r="F153" s="75">
        <v>2.65</v>
      </c>
      <c r="G153" s="75">
        <v>24</v>
      </c>
      <c r="H153" s="91">
        <v>63.6</v>
      </c>
      <c r="I153" s="91">
        <v>46</v>
      </c>
      <c r="J153" s="75" t="s">
        <v>38</v>
      </c>
      <c r="K153" s="96">
        <f t="shared" si="11"/>
        <v>60.39</v>
      </c>
      <c r="L153" s="98">
        <f t="shared" si="10"/>
        <v>144.93600000000001</v>
      </c>
    </row>
    <row r="154" spans="1:12" x14ac:dyDescent="0.3">
      <c r="A154" s="93" t="s">
        <v>285</v>
      </c>
      <c r="B154" s="93" t="s">
        <v>287</v>
      </c>
      <c r="C154" s="93" t="s">
        <v>154</v>
      </c>
      <c r="D154" s="93" t="s">
        <v>37</v>
      </c>
      <c r="E154" s="93">
        <v>3</v>
      </c>
      <c r="F154" s="93">
        <v>2.65</v>
      </c>
      <c r="G154" s="93">
        <v>24</v>
      </c>
      <c r="H154" s="94">
        <v>63.6</v>
      </c>
      <c r="I154" s="94">
        <v>46</v>
      </c>
      <c r="J154" s="93" t="s">
        <v>38</v>
      </c>
      <c r="K154" s="97">
        <v>58.19</v>
      </c>
      <c r="L154" s="98">
        <f t="shared" si="10"/>
        <v>139.65599999999998</v>
      </c>
    </row>
    <row r="155" spans="1:12" x14ac:dyDescent="0.3">
      <c r="A155" s="93" t="s">
        <v>286</v>
      </c>
      <c r="B155" s="93" t="s">
        <v>288</v>
      </c>
      <c r="C155" s="93" t="s">
        <v>154</v>
      </c>
      <c r="D155" s="93" t="s">
        <v>37</v>
      </c>
      <c r="E155" s="93">
        <v>3</v>
      </c>
      <c r="F155" s="93">
        <v>2.65</v>
      </c>
      <c r="G155" s="93">
        <v>24</v>
      </c>
      <c r="H155" s="94">
        <v>63.6</v>
      </c>
      <c r="I155" s="94">
        <v>46</v>
      </c>
      <c r="J155" s="93" t="s">
        <v>38</v>
      </c>
      <c r="K155" s="97">
        <v>58.19</v>
      </c>
      <c r="L155" s="98">
        <f t="shared" si="10"/>
        <v>139.65599999999998</v>
      </c>
    </row>
    <row r="156" spans="1:12" x14ac:dyDescent="0.3">
      <c r="A156" s="75" t="s">
        <v>151</v>
      </c>
      <c r="B156" s="75" t="s">
        <v>165</v>
      </c>
      <c r="C156" s="75" t="s">
        <v>162</v>
      </c>
      <c r="D156" s="75" t="s">
        <v>37</v>
      </c>
      <c r="E156" s="75">
        <v>2</v>
      </c>
      <c r="F156" s="75">
        <v>3.45</v>
      </c>
      <c r="G156" s="75">
        <v>24</v>
      </c>
      <c r="H156" s="91">
        <v>82.8</v>
      </c>
      <c r="I156" s="91">
        <v>63.5</v>
      </c>
      <c r="J156" s="75" t="s">
        <v>38</v>
      </c>
      <c r="K156" s="96">
        <f>VLOOKUP(A156,tabelas,2,FALSE)</f>
        <v>128.69999999999999</v>
      </c>
      <c r="L156" s="98">
        <f t="shared" si="10"/>
        <v>308.87999999999994</v>
      </c>
    </row>
    <row r="157" spans="1:12" x14ac:dyDescent="0.3">
      <c r="A157" s="75" t="s">
        <v>152</v>
      </c>
      <c r="B157" s="75" t="s">
        <v>166</v>
      </c>
      <c r="C157" s="75" t="s">
        <v>162</v>
      </c>
      <c r="D157" s="75" t="s">
        <v>37</v>
      </c>
      <c r="E157" s="75">
        <v>2</v>
      </c>
      <c r="F157" s="75">
        <v>3.45</v>
      </c>
      <c r="G157" s="75">
        <v>24</v>
      </c>
      <c r="H157" s="91">
        <v>82.8</v>
      </c>
      <c r="I157" s="91">
        <v>63.5</v>
      </c>
      <c r="J157" s="75" t="s">
        <v>38</v>
      </c>
      <c r="K157" s="96">
        <f>VLOOKUP(A157,tabelas,2,FALSE)</f>
        <v>126.5</v>
      </c>
      <c r="L157" s="98">
        <f t="shared" si="10"/>
        <v>303.59999999999997</v>
      </c>
    </row>
    <row r="158" spans="1:12" x14ac:dyDescent="0.3">
      <c r="A158" s="75" t="s">
        <v>153</v>
      </c>
      <c r="B158" s="75" t="s">
        <v>167</v>
      </c>
      <c r="C158" s="75" t="s">
        <v>162</v>
      </c>
      <c r="D158" s="75" t="s">
        <v>37</v>
      </c>
      <c r="E158" s="75">
        <v>2</v>
      </c>
      <c r="F158" s="75">
        <v>3.45</v>
      </c>
      <c r="G158" s="75">
        <v>24</v>
      </c>
      <c r="H158" s="91">
        <v>82.8</v>
      </c>
      <c r="I158" s="91">
        <v>63.5</v>
      </c>
      <c r="J158" s="75" t="s">
        <v>38</v>
      </c>
      <c r="K158" s="96">
        <f>VLOOKUP(A158,tabelas,2,FALSE)</f>
        <v>130.9</v>
      </c>
      <c r="L158" s="98">
        <f t="shared" si="10"/>
        <v>314.16000000000003</v>
      </c>
    </row>
  </sheetData>
  <autoFilter ref="A5:L158" xr:uid="{E93BCCA3-0656-4409-ABB7-398C4698F621}">
    <sortState xmlns:xlrd2="http://schemas.microsoft.com/office/spreadsheetml/2017/richdata2" ref="A6:L158">
      <sortCondition ref="A5"/>
    </sortState>
  </autoFilter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3:L199"/>
  <sheetViews>
    <sheetView topLeftCell="A175" workbookViewId="0">
      <selection activeCell="G190" sqref="G190:L198"/>
    </sheetView>
  </sheetViews>
  <sheetFormatPr defaultRowHeight="14.4" x14ac:dyDescent="0.3"/>
  <cols>
    <col min="7" max="7" width="9.6640625" style="44" bestFit="1" customWidth="1"/>
    <col min="8" max="8" width="9" style="45" bestFit="1" customWidth="1"/>
    <col min="9" max="12" width="8.88671875" style="45"/>
  </cols>
  <sheetData>
    <row r="3" spans="7:12" x14ac:dyDescent="0.3">
      <c r="G3" s="44" t="s">
        <v>238</v>
      </c>
      <c r="H3" s="45" t="s">
        <v>239</v>
      </c>
      <c r="I3" s="45" t="s">
        <v>240</v>
      </c>
      <c r="J3" s="45" t="s">
        <v>241</v>
      </c>
      <c r="K3" s="45" t="s">
        <v>242</v>
      </c>
      <c r="L3" s="45" t="s">
        <v>243</v>
      </c>
    </row>
    <row r="4" spans="7:12" x14ac:dyDescent="0.3">
      <c r="G4" s="44">
        <v>70631</v>
      </c>
      <c r="H4" s="46">
        <v>52.69</v>
      </c>
      <c r="I4" s="46">
        <v>51.25</v>
      </c>
      <c r="J4" s="46">
        <v>49.34</v>
      </c>
      <c r="K4" s="46">
        <v>47.9</v>
      </c>
      <c r="L4" s="46">
        <v>46.9</v>
      </c>
    </row>
    <row r="5" spans="7:12" x14ac:dyDescent="0.3">
      <c r="G5" s="44">
        <v>70726</v>
      </c>
      <c r="H5" s="46">
        <v>47.19</v>
      </c>
      <c r="I5" s="46">
        <v>45.9</v>
      </c>
      <c r="J5" s="46">
        <v>44.19</v>
      </c>
      <c r="K5" s="46">
        <v>42.9</v>
      </c>
      <c r="L5" s="46">
        <v>41.9</v>
      </c>
    </row>
    <row r="6" spans="7:12" x14ac:dyDescent="0.3">
      <c r="G6" s="44" t="s">
        <v>50</v>
      </c>
      <c r="H6" s="45">
        <v>61.49</v>
      </c>
      <c r="I6" s="45">
        <v>59.81</v>
      </c>
      <c r="J6" s="45">
        <v>57.58</v>
      </c>
      <c r="K6" s="45">
        <v>55.9</v>
      </c>
      <c r="L6" s="45">
        <v>54.9</v>
      </c>
    </row>
    <row r="7" spans="7:12" x14ac:dyDescent="0.3">
      <c r="G7" s="44">
        <v>70706</v>
      </c>
      <c r="H7" s="45">
        <v>49.39</v>
      </c>
      <c r="I7" s="45">
        <v>48.04</v>
      </c>
      <c r="J7" s="45">
        <v>46.25</v>
      </c>
      <c r="K7" s="45">
        <v>44.9</v>
      </c>
      <c r="L7" s="45">
        <v>43.9</v>
      </c>
    </row>
    <row r="8" spans="7:12" x14ac:dyDescent="0.3">
      <c r="G8" s="44">
        <v>70721</v>
      </c>
      <c r="H8" s="45">
        <v>49.39</v>
      </c>
      <c r="I8" s="45">
        <v>48.04</v>
      </c>
      <c r="J8" s="45">
        <v>46.25</v>
      </c>
      <c r="K8" s="45">
        <v>44.9</v>
      </c>
      <c r="L8" s="45">
        <v>43.9</v>
      </c>
    </row>
    <row r="9" spans="7:12" x14ac:dyDescent="0.3">
      <c r="G9" s="44">
        <v>70722</v>
      </c>
      <c r="H9" s="45">
        <v>46.09</v>
      </c>
      <c r="I9" s="45">
        <v>44.83</v>
      </c>
      <c r="J9" s="45">
        <v>43.16</v>
      </c>
      <c r="K9" s="45">
        <v>41.9</v>
      </c>
      <c r="L9" s="45">
        <v>40.9</v>
      </c>
    </row>
    <row r="10" spans="7:12" x14ac:dyDescent="0.3">
      <c r="G10" s="44">
        <v>73720</v>
      </c>
      <c r="H10" s="45">
        <v>50.49</v>
      </c>
      <c r="I10" s="45">
        <v>49.11</v>
      </c>
      <c r="J10" s="45">
        <v>47.28</v>
      </c>
      <c r="K10" s="45">
        <v>45.9</v>
      </c>
      <c r="L10" s="45">
        <v>44.9</v>
      </c>
    </row>
    <row r="11" spans="7:12" x14ac:dyDescent="0.3">
      <c r="G11" s="44">
        <v>73007</v>
      </c>
      <c r="H11" s="45">
        <v>73.59</v>
      </c>
      <c r="I11" s="45">
        <v>71.58</v>
      </c>
      <c r="J11" s="45">
        <v>68.91</v>
      </c>
      <c r="K11" s="45">
        <v>66.900000000000006</v>
      </c>
      <c r="L11" s="45">
        <v>65.900000000000006</v>
      </c>
    </row>
    <row r="12" spans="7:12" x14ac:dyDescent="0.3">
      <c r="G12" s="44">
        <v>73000</v>
      </c>
      <c r="H12" s="45">
        <v>64.790000000000006</v>
      </c>
      <c r="I12" s="45">
        <v>63.02</v>
      </c>
      <c r="J12" s="45">
        <v>60.67</v>
      </c>
      <c r="K12" s="45">
        <v>58.9</v>
      </c>
      <c r="L12" s="45">
        <v>57.9</v>
      </c>
    </row>
    <row r="13" spans="7:12" x14ac:dyDescent="0.3">
      <c r="G13" s="44">
        <v>73003</v>
      </c>
      <c r="H13" s="45">
        <v>65.89</v>
      </c>
      <c r="I13" s="45">
        <v>64.09</v>
      </c>
      <c r="J13" s="45">
        <v>61.7</v>
      </c>
      <c r="K13" s="45">
        <v>59.9</v>
      </c>
      <c r="L13" s="45">
        <v>58.9</v>
      </c>
    </row>
    <row r="14" spans="7:12" x14ac:dyDescent="0.3">
      <c r="G14" s="44">
        <v>73004</v>
      </c>
      <c r="H14" s="45">
        <v>66.989999999999995</v>
      </c>
      <c r="I14" s="45">
        <v>65.16</v>
      </c>
      <c r="J14" s="45">
        <v>62.73</v>
      </c>
      <c r="K14" s="45">
        <v>60.9</v>
      </c>
      <c r="L14" s="45">
        <v>59.9</v>
      </c>
    </row>
    <row r="15" spans="7:12" x14ac:dyDescent="0.3">
      <c r="G15" s="44">
        <v>73005</v>
      </c>
      <c r="H15" s="45">
        <v>64.790000000000006</v>
      </c>
      <c r="I15" s="45">
        <v>63.02</v>
      </c>
      <c r="J15" s="45">
        <v>60.67</v>
      </c>
      <c r="K15" s="45">
        <v>58.9</v>
      </c>
      <c r="L15" s="45">
        <v>57.9</v>
      </c>
    </row>
    <row r="16" spans="7:12" x14ac:dyDescent="0.3">
      <c r="G16" s="44">
        <v>70623</v>
      </c>
      <c r="H16" s="45">
        <v>64.790000000000006</v>
      </c>
      <c r="I16" s="45">
        <v>63.02</v>
      </c>
      <c r="J16" s="45">
        <v>60.67</v>
      </c>
      <c r="K16" s="45">
        <v>58.9</v>
      </c>
      <c r="L16" s="45">
        <v>57.9</v>
      </c>
    </row>
    <row r="17" spans="7:12" x14ac:dyDescent="0.3">
      <c r="G17" s="44">
        <v>70616</v>
      </c>
      <c r="H17" s="45">
        <v>55.99</v>
      </c>
      <c r="I17" s="45">
        <v>54.46</v>
      </c>
      <c r="J17" s="45">
        <v>52.43</v>
      </c>
      <c r="K17" s="45">
        <v>50.9</v>
      </c>
      <c r="L17" s="45">
        <v>49.9</v>
      </c>
    </row>
    <row r="18" spans="7:12" x14ac:dyDescent="0.3">
      <c r="G18" s="44">
        <v>70624</v>
      </c>
      <c r="H18" s="45">
        <v>46.75</v>
      </c>
      <c r="I18" s="45">
        <v>45.48</v>
      </c>
      <c r="J18" s="45">
        <v>43.78</v>
      </c>
      <c r="K18" s="45">
        <v>42.5</v>
      </c>
      <c r="L18" s="45">
        <v>41.5</v>
      </c>
    </row>
    <row r="19" spans="7:12" x14ac:dyDescent="0.3">
      <c r="G19" s="44">
        <v>70634</v>
      </c>
      <c r="H19" s="45">
        <v>46.75</v>
      </c>
      <c r="I19" s="45">
        <v>45.48</v>
      </c>
      <c r="J19" s="45">
        <v>43.78</v>
      </c>
      <c r="K19" s="45">
        <v>42.5</v>
      </c>
      <c r="L19" s="45">
        <v>41.5</v>
      </c>
    </row>
    <row r="20" spans="7:12" x14ac:dyDescent="0.3">
      <c r="G20" s="44">
        <v>70602</v>
      </c>
      <c r="H20" s="45">
        <v>52.69</v>
      </c>
      <c r="I20" s="45">
        <v>51.25</v>
      </c>
      <c r="J20" s="45">
        <v>49.34</v>
      </c>
      <c r="K20" s="45">
        <v>47.9</v>
      </c>
      <c r="L20" s="45">
        <v>46.9</v>
      </c>
    </row>
    <row r="21" spans="7:12" x14ac:dyDescent="0.3">
      <c r="G21" s="44">
        <v>70626</v>
      </c>
      <c r="H21" s="45">
        <v>45.65</v>
      </c>
      <c r="I21" s="45">
        <v>44.41</v>
      </c>
      <c r="J21" s="45">
        <v>42.75</v>
      </c>
      <c r="K21" s="45">
        <v>41.5</v>
      </c>
      <c r="L21" s="45">
        <v>40.5</v>
      </c>
    </row>
    <row r="22" spans="7:12" x14ac:dyDescent="0.3">
      <c r="G22" s="44">
        <v>70636</v>
      </c>
      <c r="H22" s="45">
        <v>64.790000000000006</v>
      </c>
      <c r="I22" s="45">
        <v>63.02</v>
      </c>
      <c r="J22" s="45">
        <v>60.67</v>
      </c>
      <c r="K22" s="45">
        <v>58.9</v>
      </c>
      <c r="L22" s="45">
        <v>57.9</v>
      </c>
    </row>
    <row r="23" spans="7:12" x14ac:dyDescent="0.3">
      <c r="G23" s="44" t="s">
        <v>82</v>
      </c>
      <c r="H23" s="45">
        <v>88.99</v>
      </c>
      <c r="I23" s="45">
        <v>86.56</v>
      </c>
      <c r="J23" s="45">
        <v>83.33</v>
      </c>
      <c r="K23" s="45">
        <v>80.900000000000006</v>
      </c>
      <c r="L23" s="45">
        <v>79.900000000000006</v>
      </c>
    </row>
    <row r="24" spans="7:12" x14ac:dyDescent="0.3">
      <c r="G24" s="44" t="s">
        <v>236</v>
      </c>
      <c r="H24" s="45">
        <v>94.49</v>
      </c>
      <c r="I24" s="45">
        <v>91.91</v>
      </c>
      <c r="J24" s="45">
        <v>88.48</v>
      </c>
      <c r="K24" s="45">
        <v>85.9</v>
      </c>
      <c r="L24" s="45">
        <v>84.9</v>
      </c>
    </row>
    <row r="25" spans="7:12" x14ac:dyDescent="0.3">
      <c r="G25" s="44" t="s">
        <v>80</v>
      </c>
      <c r="H25" s="45">
        <v>88.99</v>
      </c>
      <c r="I25" s="45">
        <v>86.56</v>
      </c>
      <c r="J25" s="45">
        <v>83.33</v>
      </c>
      <c r="K25" s="45">
        <v>80.900000000000006</v>
      </c>
      <c r="L25" s="45">
        <v>79.900000000000006</v>
      </c>
    </row>
    <row r="26" spans="7:12" x14ac:dyDescent="0.3">
      <c r="G26" s="44" t="s">
        <v>39</v>
      </c>
      <c r="H26" s="45">
        <v>58.19</v>
      </c>
      <c r="I26" s="45">
        <v>56.6</v>
      </c>
      <c r="J26" s="45">
        <v>54.49</v>
      </c>
      <c r="K26" s="45">
        <v>52.9</v>
      </c>
      <c r="L26" s="45">
        <v>51.9</v>
      </c>
    </row>
    <row r="27" spans="7:12" x14ac:dyDescent="0.3">
      <c r="G27" s="44" t="s">
        <v>48</v>
      </c>
      <c r="H27" s="45">
        <v>57.64</v>
      </c>
      <c r="I27" s="45">
        <v>56.07</v>
      </c>
      <c r="J27" s="45">
        <v>53.97</v>
      </c>
      <c r="K27" s="45">
        <v>52.4</v>
      </c>
      <c r="L27" s="45">
        <v>51.4</v>
      </c>
    </row>
    <row r="28" spans="7:12" x14ac:dyDescent="0.3">
      <c r="G28" s="44" t="s">
        <v>235</v>
      </c>
      <c r="H28" s="45">
        <v>57.64</v>
      </c>
      <c r="I28" s="45">
        <v>56.07</v>
      </c>
      <c r="J28" s="45">
        <v>53.97</v>
      </c>
      <c r="K28" s="45">
        <v>52.4</v>
      </c>
      <c r="L28" s="45">
        <v>51.4</v>
      </c>
    </row>
    <row r="29" spans="7:12" x14ac:dyDescent="0.3">
      <c r="G29" s="44" t="s">
        <v>44</v>
      </c>
      <c r="H29" s="45">
        <v>58.19</v>
      </c>
      <c r="I29" s="45">
        <v>56.6</v>
      </c>
      <c r="J29" s="45">
        <v>54.49</v>
      </c>
      <c r="K29" s="45">
        <v>52.9</v>
      </c>
      <c r="L29" s="45">
        <v>51.9</v>
      </c>
    </row>
    <row r="30" spans="7:12" x14ac:dyDescent="0.3">
      <c r="G30" s="44" t="s">
        <v>42</v>
      </c>
      <c r="H30" s="45">
        <v>57.64</v>
      </c>
      <c r="I30" s="45">
        <v>56.07</v>
      </c>
      <c r="J30" s="45">
        <v>53.97</v>
      </c>
      <c r="K30" s="45">
        <v>52.4</v>
      </c>
      <c r="L30" s="45">
        <v>51.4</v>
      </c>
    </row>
    <row r="31" spans="7:12" x14ac:dyDescent="0.3">
      <c r="G31" s="44" t="s">
        <v>64</v>
      </c>
      <c r="H31" s="45">
        <v>53.79</v>
      </c>
      <c r="I31" s="45">
        <v>52.32</v>
      </c>
      <c r="J31" s="45">
        <v>50.37</v>
      </c>
      <c r="K31" s="45">
        <v>48.9</v>
      </c>
      <c r="L31" s="45">
        <v>47.9</v>
      </c>
    </row>
    <row r="32" spans="7:12" x14ac:dyDescent="0.3">
      <c r="G32" s="44" t="s">
        <v>66</v>
      </c>
      <c r="H32" s="45">
        <v>53.79</v>
      </c>
      <c r="I32" s="45">
        <v>52.32</v>
      </c>
      <c r="J32" s="45">
        <v>50.37</v>
      </c>
      <c r="K32" s="45">
        <v>48.9</v>
      </c>
      <c r="L32" s="45">
        <v>47.9</v>
      </c>
    </row>
    <row r="33" spans="7:12" x14ac:dyDescent="0.3">
      <c r="G33" s="44" t="s">
        <v>60</v>
      </c>
      <c r="H33" s="45">
        <v>54.89</v>
      </c>
      <c r="I33" s="45">
        <v>53.39</v>
      </c>
      <c r="J33" s="45">
        <v>51.4</v>
      </c>
      <c r="K33" s="45">
        <v>49.9</v>
      </c>
      <c r="L33" s="45">
        <v>48.9</v>
      </c>
    </row>
    <row r="34" spans="7:12" x14ac:dyDescent="0.3">
      <c r="G34" s="44" t="s">
        <v>63</v>
      </c>
      <c r="H34" s="45">
        <v>53.79</v>
      </c>
      <c r="I34" s="45">
        <v>52.32</v>
      </c>
      <c r="J34" s="45">
        <v>50.37</v>
      </c>
      <c r="K34" s="45">
        <v>48.9</v>
      </c>
      <c r="L34" s="45">
        <v>47.9</v>
      </c>
    </row>
    <row r="35" spans="7:12" x14ac:dyDescent="0.3">
      <c r="G35" s="44" t="s">
        <v>61</v>
      </c>
      <c r="H35" s="45">
        <v>53.79</v>
      </c>
      <c r="I35" s="45">
        <v>52.32</v>
      </c>
      <c r="J35" s="45">
        <v>50.37</v>
      </c>
      <c r="K35" s="45">
        <v>48.9</v>
      </c>
      <c r="L35" s="45">
        <v>47.9</v>
      </c>
    </row>
    <row r="36" spans="7:12" x14ac:dyDescent="0.3">
      <c r="G36" s="44" t="s">
        <v>58</v>
      </c>
      <c r="H36" s="45">
        <v>53.79</v>
      </c>
      <c r="I36" s="45">
        <v>52.32</v>
      </c>
      <c r="J36" s="45">
        <v>50.37</v>
      </c>
      <c r="K36" s="45">
        <v>48.9</v>
      </c>
      <c r="L36" s="45">
        <v>47.9</v>
      </c>
    </row>
    <row r="37" spans="7:12" x14ac:dyDescent="0.3">
      <c r="G37" s="44" t="s">
        <v>233</v>
      </c>
      <c r="H37" s="45">
        <v>54.89</v>
      </c>
      <c r="I37" s="45">
        <v>53.39</v>
      </c>
      <c r="J37" s="45">
        <v>51.4</v>
      </c>
      <c r="K37" s="45">
        <v>49.9</v>
      </c>
      <c r="L37" s="45">
        <v>48.9</v>
      </c>
    </row>
    <row r="38" spans="7:12" x14ac:dyDescent="0.3">
      <c r="G38" s="44" t="s">
        <v>56</v>
      </c>
      <c r="H38" s="45">
        <v>54.89</v>
      </c>
      <c r="I38" s="45">
        <v>53.39</v>
      </c>
      <c r="J38" s="45">
        <v>51.4</v>
      </c>
      <c r="K38" s="45">
        <v>49.9</v>
      </c>
      <c r="L38" s="45">
        <v>48.9</v>
      </c>
    </row>
    <row r="39" spans="7:12" x14ac:dyDescent="0.3">
      <c r="G39" s="44">
        <v>70650</v>
      </c>
      <c r="H39" s="45">
        <v>55.99</v>
      </c>
      <c r="I39" s="45">
        <v>54.46</v>
      </c>
      <c r="J39" s="45">
        <v>52.43</v>
      </c>
      <c r="K39" s="45">
        <v>50.9</v>
      </c>
      <c r="L39" s="45">
        <v>49.9</v>
      </c>
    </row>
    <row r="40" spans="7:12" x14ac:dyDescent="0.3">
      <c r="G40" s="44" t="s">
        <v>84</v>
      </c>
      <c r="H40" s="45">
        <v>87.89</v>
      </c>
      <c r="I40" s="45">
        <v>85.49</v>
      </c>
      <c r="J40" s="45">
        <v>82.3</v>
      </c>
      <c r="K40" s="45">
        <v>79.900000000000006</v>
      </c>
      <c r="L40" s="45">
        <v>78.900000000000006</v>
      </c>
    </row>
    <row r="41" spans="7:12" x14ac:dyDescent="0.3">
      <c r="G41" s="44">
        <v>73008</v>
      </c>
      <c r="H41" s="45">
        <v>64.790000000000006</v>
      </c>
      <c r="I41" s="45">
        <v>63.02</v>
      </c>
      <c r="J41" s="45">
        <v>60.67</v>
      </c>
      <c r="K41" s="45">
        <v>58.9</v>
      </c>
      <c r="L41" s="45">
        <v>57.9</v>
      </c>
    </row>
    <row r="42" spans="7:12" x14ac:dyDescent="0.3">
      <c r="G42" s="44">
        <v>70707</v>
      </c>
      <c r="H42" s="45">
        <v>47.19</v>
      </c>
      <c r="I42" s="45">
        <v>45.9</v>
      </c>
      <c r="J42" s="45">
        <v>44.19</v>
      </c>
      <c r="K42" s="45">
        <v>42.9</v>
      </c>
      <c r="L42" s="45">
        <v>41.9</v>
      </c>
    </row>
    <row r="43" spans="7:12" x14ac:dyDescent="0.3">
      <c r="G43" s="44">
        <v>70733</v>
      </c>
      <c r="H43" s="45">
        <v>47.19</v>
      </c>
      <c r="I43" s="45">
        <v>45.9</v>
      </c>
      <c r="J43" s="45">
        <v>44.19</v>
      </c>
      <c r="K43" s="45">
        <v>42.9</v>
      </c>
      <c r="L43" s="45">
        <v>41.9</v>
      </c>
    </row>
    <row r="44" spans="7:12" x14ac:dyDescent="0.3">
      <c r="G44" s="44">
        <v>70652</v>
      </c>
      <c r="H44" s="45">
        <v>45.65</v>
      </c>
      <c r="I44" s="45">
        <v>44.41</v>
      </c>
      <c r="J44" s="45">
        <v>42.75</v>
      </c>
      <c r="K44" s="45">
        <v>41.5</v>
      </c>
      <c r="L44" s="45">
        <v>40.5</v>
      </c>
    </row>
    <row r="45" spans="7:12" x14ac:dyDescent="0.3">
      <c r="G45" s="44" t="s">
        <v>51</v>
      </c>
      <c r="H45" s="45">
        <v>57.64</v>
      </c>
      <c r="I45" s="45">
        <v>56.07</v>
      </c>
      <c r="J45" s="45">
        <v>53.97</v>
      </c>
      <c r="K45" s="45">
        <v>52.4</v>
      </c>
      <c r="L45" s="45">
        <v>51.4</v>
      </c>
    </row>
    <row r="46" spans="7:12" x14ac:dyDescent="0.3">
      <c r="G46" s="44">
        <v>70737</v>
      </c>
      <c r="H46" s="45">
        <v>47.19</v>
      </c>
      <c r="I46" s="45">
        <v>45.9</v>
      </c>
      <c r="J46" s="45">
        <v>44.19</v>
      </c>
      <c r="K46" s="45">
        <v>42.9</v>
      </c>
      <c r="L46" s="45">
        <v>41.9</v>
      </c>
    </row>
    <row r="47" spans="7:12" x14ac:dyDescent="0.3">
      <c r="G47" s="44" t="s">
        <v>86</v>
      </c>
      <c r="H47" s="45">
        <v>87.89</v>
      </c>
      <c r="I47" s="45">
        <v>85.49</v>
      </c>
      <c r="J47" s="45">
        <v>82.3</v>
      </c>
      <c r="K47" s="45">
        <v>79.900000000000006</v>
      </c>
      <c r="L47" s="45">
        <v>78.900000000000006</v>
      </c>
    </row>
    <row r="48" spans="7:12" x14ac:dyDescent="0.3">
      <c r="G48" s="44">
        <v>70659</v>
      </c>
      <c r="H48" s="45">
        <v>45.65</v>
      </c>
      <c r="I48" s="45">
        <v>44.41</v>
      </c>
      <c r="J48" s="45">
        <v>42.75</v>
      </c>
      <c r="K48" s="45">
        <v>41.5</v>
      </c>
      <c r="L48" s="45">
        <v>40.5</v>
      </c>
    </row>
    <row r="49" spans="7:12" x14ac:dyDescent="0.3">
      <c r="G49" s="44" t="s">
        <v>105</v>
      </c>
      <c r="H49" s="45">
        <v>57.64</v>
      </c>
      <c r="I49" s="45">
        <v>56.07</v>
      </c>
      <c r="J49" s="45">
        <v>53.97</v>
      </c>
      <c r="K49" s="45">
        <v>52.4</v>
      </c>
      <c r="L49" s="45">
        <v>51.4</v>
      </c>
    </row>
    <row r="50" spans="7:12" x14ac:dyDescent="0.3">
      <c r="G50" s="44">
        <v>70736</v>
      </c>
      <c r="H50" s="45">
        <v>47.19</v>
      </c>
      <c r="I50" s="45">
        <v>45.9</v>
      </c>
      <c r="J50" s="45">
        <v>44.19</v>
      </c>
      <c r="K50" s="45">
        <v>42.9</v>
      </c>
      <c r="L50" s="45">
        <v>41.9</v>
      </c>
    </row>
    <row r="51" spans="7:12" x14ac:dyDescent="0.3">
      <c r="G51" s="44">
        <v>70657</v>
      </c>
      <c r="H51" s="45">
        <v>46.75</v>
      </c>
      <c r="I51" s="45">
        <v>45.48</v>
      </c>
      <c r="J51" s="45">
        <v>43.78</v>
      </c>
      <c r="K51" s="45">
        <v>42.5</v>
      </c>
      <c r="L51" s="45">
        <v>41.5</v>
      </c>
    </row>
    <row r="52" spans="7:12" x14ac:dyDescent="0.3">
      <c r="G52" s="44">
        <v>70732</v>
      </c>
      <c r="H52" s="45">
        <v>47.19</v>
      </c>
      <c r="I52" s="45">
        <v>45.9</v>
      </c>
      <c r="J52" s="45">
        <v>44.19</v>
      </c>
      <c r="K52" s="45">
        <v>42.9</v>
      </c>
      <c r="L52" s="45">
        <v>41.9</v>
      </c>
    </row>
    <row r="53" spans="7:12" x14ac:dyDescent="0.3">
      <c r="G53" s="44" t="s">
        <v>103</v>
      </c>
      <c r="H53" s="45">
        <v>57.64</v>
      </c>
      <c r="I53" s="45">
        <v>56.07</v>
      </c>
      <c r="J53" s="45">
        <v>53.97</v>
      </c>
      <c r="K53" s="45">
        <v>52.4</v>
      </c>
      <c r="L53" s="45">
        <v>51.4</v>
      </c>
    </row>
    <row r="54" spans="7:12" x14ac:dyDescent="0.3">
      <c r="G54" s="44" t="s">
        <v>88</v>
      </c>
      <c r="H54" s="45">
        <v>87.89</v>
      </c>
      <c r="I54" s="45">
        <v>85.49</v>
      </c>
      <c r="J54" s="45">
        <v>82.3</v>
      </c>
      <c r="K54" s="45">
        <v>79.900000000000006</v>
      </c>
      <c r="L54" s="45">
        <v>78.900000000000006</v>
      </c>
    </row>
    <row r="55" spans="7:12" x14ac:dyDescent="0.3">
      <c r="G55" s="44" t="s">
        <v>107</v>
      </c>
      <c r="H55" s="45">
        <v>53.79</v>
      </c>
      <c r="I55" s="45">
        <v>52.32</v>
      </c>
      <c r="J55" s="45">
        <v>50.37</v>
      </c>
      <c r="K55" s="45">
        <v>48.9</v>
      </c>
      <c r="L55" s="45">
        <v>47.9</v>
      </c>
    </row>
    <row r="56" spans="7:12" x14ac:dyDescent="0.3">
      <c r="G56" s="44">
        <v>70654</v>
      </c>
      <c r="H56" s="45">
        <v>46.75</v>
      </c>
      <c r="I56" s="45">
        <v>45.48</v>
      </c>
      <c r="J56" s="45">
        <v>43.78</v>
      </c>
      <c r="K56" s="45">
        <v>42.5</v>
      </c>
      <c r="L56" s="45">
        <v>41.5</v>
      </c>
    </row>
    <row r="57" spans="7:12" x14ac:dyDescent="0.3">
      <c r="G57" s="44">
        <v>70653</v>
      </c>
      <c r="H57" s="45">
        <v>45.65</v>
      </c>
      <c r="I57" s="45">
        <v>44.41</v>
      </c>
      <c r="J57" s="45">
        <v>42.75</v>
      </c>
      <c r="K57" s="45">
        <v>41.5</v>
      </c>
      <c r="L57" s="45">
        <v>40.5</v>
      </c>
    </row>
    <row r="58" spans="7:12" x14ac:dyDescent="0.3">
      <c r="G58" s="44" t="s">
        <v>234</v>
      </c>
      <c r="H58" s="45">
        <v>54.89</v>
      </c>
      <c r="I58" s="45">
        <v>53.39</v>
      </c>
      <c r="J58" s="45">
        <v>51.4</v>
      </c>
      <c r="K58" s="45">
        <v>49.9</v>
      </c>
      <c r="L58" s="45">
        <v>48.9</v>
      </c>
    </row>
    <row r="59" spans="7:12" x14ac:dyDescent="0.3">
      <c r="G59" s="44" t="s">
        <v>101</v>
      </c>
      <c r="H59" s="45">
        <v>57.64</v>
      </c>
      <c r="I59" s="45">
        <v>56.07</v>
      </c>
      <c r="J59" s="45">
        <v>53.97</v>
      </c>
      <c r="K59" s="45">
        <v>52.4</v>
      </c>
      <c r="L59" s="45">
        <v>51.4</v>
      </c>
    </row>
    <row r="60" spans="7:12" x14ac:dyDescent="0.3">
      <c r="G60" s="44" t="s">
        <v>53</v>
      </c>
      <c r="H60" s="45">
        <v>64.790000000000006</v>
      </c>
      <c r="I60" s="45">
        <v>63.02</v>
      </c>
      <c r="J60" s="45">
        <v>60.67</v>
      </c>
      <c r="K60" s="45">
        <v>58.9</v>
      </c>
      <c r="L60" s="45">
        <v>57.9</v>
      </c>
    </row>
    <row r="61" spans="7:12" x14ac:dyDescent="0.3">
      <c r="G61" s="44">
        <v>70656</v>
      </c>
      <c r="H61" s="45">
        <v>55.99</v>
      </c>
      <c r="I61" s="45">
        <v>54.46</v>
      </c>
      <c r="J61" s="45">
        <v>52.43</v>
      </c>
      <c r="K61" s="45">
        <v>50.9</v>
      </c>
      <c r="L61" s="45">
        <v>49.9</v>
      </c>
    </row>
    <row r="62" spans="7:12" x14ac:dyDescent="0.3">
      <c r="G62" s="44">
        <v>70734</v>
      </c>
      <c r="H62" s="45">
        <v>47.19</v>
      </c>
      <c r="I62" s="45">
        <v>45.9</v>
      </c>
      <c r="J62" s="45">
        <v>44.19</v>
      </c>
      <c r="K62" s="45">
        <v>42.9</v>
      </c>
      <c r="L62" s="45">
        <v>41.9</v>
      </c>
    </row>
    <row r="63" spans="7:12" x14ac:dyDescent="0.3">
      <c r="G63" s="44" t="s">
        <v>110</v>
      </c>
      <c r="H63" s="45">
        <v>52.69</v>
      </c>
      <c r="I63" s="45">
        <v>51.25</v>
      </c>
      <c r="J63" s="45">
        <v>49.34</v>
      </c>
      <c r="K63" s="45">
        <v>47.9</v>
      </c>
      <c r="L63" s="45">
        <v>46.9</v>
      </c>
    </row>
    <row r="64" spans="7:12" x14ac:dyDescent="0.3">
      <c r="G64" s="44">
        <v>73009</v>
      </c>
      <c r="H64" s="45">
        <v>65.89</v>
      </c>
      <c r="I64" s="45">
        <v>64.09</v>
      </c>
      <c r="J64" s="45">
        <v>61.7</v>
      </c>
      <c r="K64" s="45">
        <v>59.9</v>
      </c>
      <c r="L64" s="45">
        <v>58.9</v>
      </c>
    </row>
    <row r="65" spans="7:12" x14ac:dyDescent="0.3">
      <c r="G65" s="44" t="s">
        <v>54</v>
      </c>
      <c r="H65" s="45">
        <v>59.29</v>
      </c>
      <c r="I65" s="45">
        <v>57.67</v>
      </c>
      <c r="J65" s="45">
        <v>55.52</v>
      </c>
      <c r="K65" s="45">
        <v>53.9</v>
      </c>
      <c r="L65" s="45">
        <v>52.9</v>
      </c>
    </row>
    <row r="66" spans="7:12" x14ac:dyDescent="0.3">
      <c r="G66" s="44" t="s">
        <v>109</v>
      </c>
      <c r="H66" s="45">
        <v>52.69</v>
      </c>
      <c r="I66" s="45">
        <v>51.25</v>
      </c>
      <c r="J66" s="45">
        <v>49.34</v>
      </c>
      <c r="K66" s="45">
        <v>47.9</v>
      </c>
      <c r="L66" s="45">
        <v>46.9</v>
      </c>
    </row>
    <row r="67" spans="7:12" x14ac:dyDescent="0.3">
      <c r="G67" s="44" t="s">
        <v>46</v>
      </c>
      <c r="H67" s="45">
        <v>62.59</v>
      </c>
      <c r="I67" s="45">
        <v>60.88</v>
      </c>
      <c r="J67" s="45">
        <v>58.61</v>
      </c>
      <c r="K67" s="45">
        <v>56.9</v>
      </c>
      <c r="L67" s="45">
        <v>55.9</v>
      </c>
    </row>
    <row r="68" spans="7:12" x14ac:dyDescent="0.3">
      <c r="G68" s="44">
        <v>70649</v>
      </c>
      <c r="H68" s="45">
        <v>58.19</v>
      </c>
      <c r="I68" s="45">
        <v>56.6</v>
      </c>
      <c r="J68" s="45">
        <v>54.49</v>
      </c>
      <c r="K68" s="45">
        <v>52.9</v>
      </c>
      <c r="L68" s="45">
        <v>51.9</v>
      </c>
    </row>
    <row r="69" spans="7:12" x14ac:dyDescent="0.3">
      <c r="G69" s="44">
        <v>74005</v>
      </c>
      <c r="H69" s="45">
        <v>35.090000000000003</v>
      </c>
      <c r="I69" s="45">
        <v>34.130000000000003</v>
      </c>
      <c r="J69" s="45">
        <v>32.86</v>
      </c>
      <c r="K69" s="45">
        <v>31.9</v>
      </c>
      <c r="L69" s="45">
        <v>30.9</v>
      </c>
    </row>
    <row r="70" spans="7:12" x14ac:dyDescent="0.3">
      <c r="G70" s="44" t="s">
        <v>244</v>
      </c>
      <c r="H70" s="45">
        <v>47.19</v>
      </c>
      <c r="I70" s="45">
        <v>45.9</v>
      </c>
      <c r="J70" s="45">
        <v>44.19</v>
      </c>
      <c r="K70" s="45">
        <v>42.9</v>
      </c>
      <c r="L70" s="45">
        <v>41.9</v>
      </c>
    </row>
    <row r="71" spans="7:12" x14ac:dyDescent="0.3">
      <c r="G71" s="44">
        <v>74001</v>
      </c>
      <c r="H71" s="45">
        <v>37.29</v>
      </c>
      <c r="I71" s="45">
        <v>36.270000000000003</v>
      </c>
      <c r="J71" s="45">
        <v>34.92</v>
      </c>
      <c r="K71" s="45">
        <v>33.9</v>
      </c>
      <c r="L71" s="45">
        <v>32.9</v>
      </c>
    </row>
    <row r="72" spans="7:12" x14ac:dyDescent="0.3">
      <c r="G72" s="44">
        <v>70637</v>
      </c>
      <c r="H72" s="45">
        <v>57.09</v>
      </c>
      <c r="I72" s="45">
        <v>55.53</v>
      </c>
      <c r="J72" s="45">
        <v>53.46</v>
      </c>
      <c r="K72" s="45">
        <v>51.9</v>
      </c>
      <c r="L72" s="45">
        <v>50.9</v>
      </c>
    </row>
    <row r="73" spans="7:12" x14ac:dyDescent="0.3">
      <c r="G73" s="44" t="s">
        <v>245</v>
      </c>
      <c r="H73" s="45">
        <v>47.19</v>
      </c>
      <c r="I73" s="45">
        <v>45.9</v>
      </c>
      <c r="J73" s="45">
        <v>44.19</v>
      </c>
      <c r="K73" s="45">
        <v>42.9</v>
      </c>
      <c r="L73" s="45">
        <v>41.9</v>
      </c>
    </row>
    <row r="74" spans="7:12" x14ac:dyDescent="0.3">
      <c r="G74" s="44">
        <v>70639</v>
      </c>
      <c r="H74" s="45">
        <v>64.790000000000006</v>
      </c>
      <c r="I74" s="45">
        <v>63.02</v>
      </c>
      <c r="J74" s="45">
        <v>60.67</v>
      </c>
      <c r="K74" s="45">
        <v>58.9</v>
      </c>
      <c r="L74" s="45">
        <v>57.9</v>
      </c>
    </row>
    <row r="75" spans="7:12" x14ac:dyDescent="0.3">
      <c r="G75" s="44">
        <v>74000</v>
      </c>
      <c r="H75" s="45">
        <v>35.090000000000003</v>
      </c>
      <c r="I75" s="45">
        <v>34.130000000000003</v>
      </c>
      <c r="J75" s="45">
        <v>32.86</v>
      </c>
      <c r="K75" s="45">
        <v>31.9</v>
      </c>
      <c r="L75" s="45">
        <v>30.9</v>
      </c>
    </row>
    <row r="76" spans="7:12" x14ac:dyDescent="0.3">
      <c r="G76" s="44">
        <v>70648</v>
      </c>
      <c r="H76" s="45">
        <v>47.85</v>
      </c>
      <c r="I76" s="45">
        <v>46.55</v>
      </c>
      <c r="J76" s="45">
        <v>44.81</v>
      </c>
      <c r="K76" s="45">
        <v>43.5</v>
      </c>
      <c r="L76" s="45">
        <v>42.5</v>
      </c>
    </row>
    <row r="77" spans="7:12" x14ac:dyDescent="0.3">
      <c r="G77" s="44">
        <v>70615</v>
      </c>
      <c r="H77" s="45">
        <v>54.89</v>
      </c>
      <c r="I77" s="45">
        <v>53.39</v>
      </c>
      <c r="J77" s="45">
        <v>51.4</v>
      </c>
      <c r="K77" s="45">
        <v>49.9</v>
      </c>
      <c r="L77" s="45">
        <v>48.9</v>
      </c>
    </row>
    <row r="78" spans="7:12" x14ac:dyDescent="0.3">
      <c r="G78" s="44" t="s">
        <v>246</v>
      </c>
      <c r="H78" s="45">
        <v>47.19</v>
      </c>
      <c r="I78" s="45">
        <v>45.9</v>
      </c>
      <c r="J78" s="45">
        <v>44.19</v>
      </c>
      <c r="K78" s="45">
        <v>42.9</v>
      </c>
      <c r="L78" s="45">
        <v>41.9</v>
      </c>
    </row>
    <row r="79" spans="7:12" x14ac:dyDescent="0.3">
      <c r="G79" s="44">
        <v>74004</v>
      </c>
      <c r="H79" s="45">
        <v>37.29</v>
      </c>
      <c r="I79" s="45">
        <v>36.270000000000003</v>
      </c>
      <c r="J79" s="45">
        <v>34.92</v>
      </c>
      <c r="K79" s="45">
        <v>33.9</v>
      </c>
      <c r="L79" s="45">
        <v>32.9</v>
      </c>
    </row>
    <row r="80" spans="7:12" x14ac:dyDescent="0.3">
      <c r="G80" s="44">
        <v>74002</v>
      </c>
      <c r="H80" s="45">
        <v>36.19</v>
      </c>
      <c r="I80" s="45">
        <v>35.200000000000003</v>
      </c>
      <c r="J80" s="45">
        <v>33.89</v>
      </c>
      <c r="K80" s="45">
        <v>32.9</v>
      </c>
      <c r="L80" s="45">
        <v>31.9</v>
      </c>
    </row>
    <row r="81" spans="7:12" x14ac:dyDescent="0.3">
      <c r="G81" s="44">
        <v>70700</v>
      </c>
      <c r="H81" s="45">
        <v>47.19</v>
      </c>
      <c r="I81" s="45">
        <v>45.9</v>
      </c>
      <c r="J81" s="45">
        <v>44.19</v>
      </c>
      <c r="K81" s="45">
        <v>42.9</v>
      </c>
      <c r="L81" s="45">
        <v>41.9</v>
      </c>
    </row>
    <row r="82" spans="7:12" x14ac:dyDescent="0.3">
      <c r="G82" s="44">
        <v>70668</v>
      </c>
      <c r="H82" s="45">
        <v>52.69</v>
      </c>
      <c r="I82" s="45">
        <v>51.25</v>
      </c>
      <c r="J82" s="45">
        <v>49.34</v>
      </c>
      <c r="K82" s="45">
        <v>47.9</v>
      </c>
      <c r="L82" s="45">
        <v>46.9</v>
      </c>
    </row>
    <row r="83" spans="7:12" x14ac:dyDescent="0.3">
      <c r="G83" s="44">
        <v>70671</v>
      </c>
      <c r="H83" s="45">
        <v>47.85</v>
      </c>
      <c r="I83" s="45">
        <v>46.55</v>
      </c>
      <c r="J83" s="45">
        <v>44.81</v>
      </c>
      <c r="K83" s="45">
        <v>43.5</v>
      </c>
      <c r="L83" s="45">
        <v>42.5</v>
      </c>
    </row>
    <row r="84" spans="7:12" x14ac:dyDescent="0.3">
      <c r="G84" s="44" t="s">
        <v>127</v>
      </c>
      <c r="H84" s="45">
        <v>61.49</v>
      </c>
      <c r="I84" s="45">
        <v>59.81</v>
      </c>
      <c r="J84" s="45">
        <v>57.58</v>
      </c>
      <c r="K84" s="45">
        <v>55.9</v>
      </c>
      <c r="L84" s="45">
        <v>54.9</v>
      </c>
    </row>
    <row r="85" spans="7:12" x14ac:dyDescent="0.3">
      <c r="G85" s="44" t="s">
        <v>130</v>
      </c>
      <c r="H85" s="45">
        <v>90.09</v>
      </c>
      <c r="I85" s="45">
        <v>87.63</v>
      </c>
      <c r="J85" s="45">
        <v>84.36</v>
      </c>
      <c r="K85" s="45">
        <v>81.900000000000006</v>
      </c>
      <c r="L85" s="45">
        <v>80.900000000000006</v>
      </c>
    </row>
    <row r="86" spans="7:12" x14ac:dyDescent="0.3">
      <c r="G86" s="44" t="s">
        <v>125</v>
      </c>
      <c r="H86" s="45">
        <v>58.19</v>
      </c>
      <c r="I86" s="45">
        <v>56.6</v>
      </c>
      <c r="J86" s="45">
        <v>54.49</v>
      </c>
      <c r="K86" s="45">
        <v>52.9</v>
      </c>
      <c r="L86" s="45">
        <v>51.9</v>
      </c>
    </row>
    <row r="87" spans="7:12" x14ac:dyDescent="0.3">
      <c r="G87" s="44" t="s">
        <v>126</v>
      </c>
      <c r="H87" s="45">
        <v>58.19</v>
      </c>
      <c r="I87" s="45">
        <v>56.6</v>
      </c>
      <c r="J87" s="45">
        <v>54.49</v>
      </c>
      <c r="K87" s="45">
        <v>52.9</v>
      </c>
      <c r="L87" s="45">
        <v>51.9</v>
      </c>
    </row>
    <row r="88" spans="7:12" x14ac:dyDescent="0.3">
      <c r="G88" s="44" t="s">
        <v>124</v>
      </c>
      <c r="H88" s="45">
        <v>64.790000000000006</v>
      </c>
      <c r="I88" s="45">
        <v>63.02</v>
      </c>
      <c r="J88" s="45">
        <v>60.67</v>
      </c>
      <c r="K88" s="45">
        <v>58.9</v>
      </c>
      <c r="L88" s="45">
        <v>57.9</v>
      </c>
    </row>
    <row r="89" spans="7:12" x14ac:dyDescent="0.3">
      <c r="G89" s="44">
        <v>70534</v>
      </c>
      <c r="H89" s="45">
        <v>41.69</v>
      </c>
      <c r="I89" s="45">
        <v>40.549999999999997</v>
      </c>
      <c r="J89" s="45">
        <v>39.04</v>
      </c>
      <c r="K89" s="45">
        <v>37.9</v>
      </c>
      <c r="L89" s="45">
        <v>36.9</v>
      </c>
    </row>
    <row r="90" spans="7:12" x14ac:dyDescent="0.3">
      <c r="G90" s="44">
        <v>70533</v>
      </c>
      <c r="H90" s="45">
        <v>39.49</v>
      </c>
      <c r="I90" s="45">
        <v>38.409999999999997</v>
      </c>
      <c r="J90" s="45">
        <v>36.979999999999997</v>
      </c>
      <c r="K90" s="45">
        <v>35.9</v>
      </c>
      <c r="L90" s="45">
        <v>34.9</v>
      </c>
    </row>
    <row r="91" spans="7:12" x14ac:dyDescent="0.3">
      <c r="G91" s="44">
        <v>70522</v>
      </c>
      <c r="H91" s="45">
        <v>42.79</v>
      </c>
      <c r="I91" s="45">
        <v>41.62</v>
      </c>
      <c r="J91" s="45">
        <v>40.07</v>
      </c>
      <c r="K91" s="45">
        <v>38.9</v>
      </c>
      <c r="L91" s="45">
        <v>37.9</v>
      </c>
    </row>
    <row r="92" spans="7:12" x14ac:dyDescent="0.3">
      <c r="G92" s="44">
        <v>70523</v>
      </c>
      <c r="H92" s="45">
        <v>41.69</v>
      </c>
      <c r="I92" s="45">
        <v>40.549999999999997</v>
      </c>
      <c r="J92" s="45">
        <v>39.04</v>
      </c>
      <c r="K92" s="45">
        <v>37.9</v>
      </c>
      <c r="L92" s="45">
        <v>36.9</v>
      </c>
    </row>
    <row r="93" spans="7:12" x14ac:dyDescent="0.3">
      <c r="G93" s="44">
        <v>70509</v>
      </c>
      <c r="H93" s="45">
        <v>41.69</v>
      </c>
      <c r="I93" s="45">
        <v>40.549999999999997</v>
      </c>
      <c r="J93" s="45">
        <v>39.04</v>
      </c>
      <c r="K93" s="45">
        <v>37.9</v>
      </c>
      <c r="L93" s="45">
        <v>36.9</v>
      </c>
    </row>
    <row r="94" spans="7:12" x14ac:dyDescent="0.3">
      <c r="G94" s="44">
        <v>70529</v>
      </c>
      <c r="H94" s="45">
        <v>41.69</v>
      </c>
      <c r="I94" s="45">
        <v>40.549999999999997</v>
      </c>
      <c r="J94" s="45">
        <v>39.04</v>
      </c>
      <c r="K94" s="45">
        <v>37.9</v>
      </c>
      <c r="L94" s="45">
        <v>36.9</v>
      </c>
    </row>
    <row r="95" spans="7:12" x14ac:dyDescent="0.3">
      <c r="G95" s="44">
        <v>70508</v>
      </c>
      <c r="H95" s="45">
        <v>40.590000000000003</v>
      </c>
      <c r="I95" s="45">
        <v>39.479999999999997</v>
      </c>
      <c r="J95" s="45">
        <v>38.01</v>
      </c>
      <c r="K95" s="45">
        <v>36.9</v>
      </c>
      <c r="L95" s="45">
        <v>35.9</v>
      </c>
    </row>
    <row r="96" spans="7:12" x14ac:dyDescent="0.3">
      <c r="G96" s="44">
        <v>70532</v>
      </c>
      <c r="H96" s="45">
        <v>40.590000000000003</v>
      </c>
      <c r="I96" s="45">
        <v>39.479999999999997</v>
      </c>
      <c r="J96" s="45">
        <v>38.01</v>
      </c>
      <c r="K96" s="45">
        <v>36.9</v>
      </c>
      <c r="L96" s="45">
        <v>35.9</v>
      </c>
    </row>
    <row r="97" spans="7:12" x14ac:dyDescent="0.3">
      <c r="G97" s="44">
        <v>70519</v>
      </c>
      <c r="H97" s="45">
        <v>41.69</v>
      </c>
      <c r="I97" s="45">
        <v>40.549999999999997</v>
      </c>
      <c r="J97" s="45">
        <v>39.04</v>
      </c>
      <c r="K97" s="45">
        <v>37.9</v>
      </c>
      <c r="L97" s="45">
        <v>36.9</v>
      </c>
    </row>
    <row r="98" spans="7:12" x14ac:dyDescent="0.3">
      <c r="G98" s="44">
        <v>70504</v>
      </c>
      <c r="H98" s="45">
        <v>40.590000000000003</v>
      </c>
      <c r="I98" s="45">
        <v>39.479999999999997</v>
      </c>
      <c r="J98" s="45">
        <v>38.01</v>
      </c>
      <c r="K98" s="45">
        <v>36.9</v>
      </c>
      <c r="L98" s="45">
        <v>35.9</v>
      </c>
    </row>
    <row r="99" spans="7:12" x14ac:dyDescent="0.3">
      <c r="G99" s="44">
        <v>70512</v>
      </c>
      <c r="H99" s="45">
        <v>40.590000000000003</v>
      </c>
      <c r="I99" s="45">
        <v>39.479999999999997</v>
      </c>
      <c r="J99" s="45">
        <v>38.01</v>
      </c>
      <c r="K99" s="45">
        <v>36.9</v>
      </c>
      <c r="L99" s="45">
        <v>35.9</v>
      </c>
    </row>
    <row r="100" spans="7:12" x14ac:dyDescent="0.3">
      <c r="G100" s="44">
        <v>70525</v>
      </c>
      <c r="H100" s="45">
        <v>42.79</v>
      </c>
      <c r="I100" s="45">
        <v>41.62</v>
      </c>
      <c r="J100" s="45">
        <v>40.07</v>
      </c>
      <c r="K100" s="45">
        <v>38.9</v>
      </c>
      <c r="L100" s="45">
        <v>37.9</v>
      </c>
    </row>
    <row r="101" spans="7:12" x14ac:dyDescent="0.3">
      <c r="G101" s="44">
        <v>70510</v>
      </c>
      <c r="H101" s="45">
        <v>44.99</v>
      </c>
      <c r="I101" s="45">
        <v>43.76</v>
      </c>
      <c r="J101" s="45">
        <v>42.13</v>
      </c>
      <c r="K101" s="45">
        <v>40.9</v>
      </c>
      <c r="L101" s="45">
        <v>39.9</v>
      </c>
    </row>
    <row r="102" spans="7:12" x14ac:dyDescent="0.3">
      <c r="G102" s="44">
        <v>73722</v>
      </c>
      <c r="H102" s="45">
        <v>50.49</v>
      </c>
      <c r="I102" s="45">
        <v>49.11</v>
      </c>
      <c r="J102" s="45">
        <v>47.28</v>
      </c>
      <c r="K102" s="45">
        <v>45.9</v>
      </c>
      <c r="L102" s="45">
        <v>44.9</v>
      </c>
    </row>
    <row r="103" spans="7:12" x14ac:dyDescent="0.3">
      <c r="G103" s="44">
        <v>70511</v>
      </c>
      <c r="H103" s="45">
        <v>42.79</v>
      </c>
      <c r="I103" s="45">
        <v>41.62</v>
      </c>
      <c r="J103" s="45">
        <v>40.07</v>
      </c>
      <c r="K103" s="45">
        <v>38.9</v>
      </c>
      <c r="L103" s="45">
        <v>37.9</v>
      </c>
    </row>
    <row r="104" spans="7:12" x14ac:dyDescent="0.3">
      <c r="G104" s="44">
        <v>70524</v>
      </c>
      <c r="H104" s="45">
        <v>42.79</v>
      </c>
      <c r="I104" s="45">
        <v>41.62</v>
      </c>
      <c r="J104" s="45">
        <v>40.07</v>
      </c>
      <c r="K104" s="45">
        <v>38.9</v>
      </c>
      <c r="L104" s="45">
        <v>37.9</v>
      </c>
    </row>
    <row r="105" spans="7:12" x14ac:dyDescent="0.3">
      <c r="G105" s="44">
        <v>70526</v>
      </c>
      <c r="H105" s="45">
        <v>40.590000000000003</v>
      </c>
      <c r="I105" s="45">
        <v>39.479999999999997</v>
      </c>
      <c r="J105" s="45">
        <v>38.01</v>
      </c>
      <c r="K105" s="45">
        <v>36.9</v>
      </c>
      <c r="L105" s="45">
        <v>35.9</v>
      </c>
    </row>
    <row r="106" spans="7:12" x14ac:dyDescent="0.3">
      <c r="G106" s="44">
        <v>70528</v>
      </c>
      <c r="H106" s="45">
        <v>39.49</v>
      </c>
      <c r="I106" s="45">
        <v>38.409999999999997</v>
      </c>
      <c r="J106" s="45">
        <v>36.979999999999997</v>
      </c>
      <c r="K106" s="45">
        <v>35.9</v>
      </c>
      <c r="L106" s="45">
        <v>34.9</v>
      </c>
    </row>
    <row r="107" spans="7:12" x14ac:dyDescent="0.3">
      <c r="G107" s="44">
        <v>73010</v>
      </c>
      <c r="H107" s="45">
        <v>65.89</v>
      </c>
      <c r="I107" s="45">
        <v>64.09</v>
      </c>
      <c r="J107" s="45">
        <v>61.7</v>
      </c>
      <c r="K107" s="45">
        <v>59.9</v>
      </c>
      <c r="L107" s="45">
        <v>58.9</v>
      </c>
    </row>
    <row r="108" spans="7:12" x14ac:dyDescent="0.3">
      <c r="G108" s="44">
        <v>70673</v>
      </c>
      <c r="H108" s="45">
        <v>55.99</v>
      </c>
      <c r="I108" s="45">
        <v>54.46</v>
      </c>
      <c r="J108" s="45">
        <v>52.43</v>
      </c>
      <c r="K108" s="45">
        <v>50.9</v>
      </c>
      <c r="L108" s="45">
        <v>49.9</v>
      </c>
    </row>
    <row r="109" spans="7:12" x14ac:dyDescent="0.3">
      <c r="G109" s="44">
        <v>98703</v>
      </c>
      <c r="H109" s="45">
        <v>117.59</v>
      </c>
      <c r="I109" s="45">
        <v>114.38</v>
      </c>
      <c r="J109" s="45">
        <v>110.11</v>
      </c>
      <c r="K109" s="45">
        <v>106.9</v>
      </c>
      <c r="L109" s="45">
        <v>105.9</v>
      </c>
    </row>
    <row r="110" spans="7:12" x14ac:dyDescent="0.3">
      <c r="G110" s="44" t="s">
        <v>153</v>
      </c>
      <c r="H110" s="45">
        <v>130.9</v>
      </c>
      <c r="I110" s="45">
        <v>127.33</v>
      </c>
      <c r="J110" s="45">
        <v>122.57</v>
      </c>
      <c r="K110" s="45">
        <v>119</v>
      </c>
      <c r="L110" s="45">
        <v>118</v>
      </c>
    </row>
    <row r="111" spans="7:12" x14ac:dyDescent="0.3">
      <c r="G111" s="44" t="s">
        <v>151</v>
      </c>
      <c r="H111" s="45">
        <v>128.69999999999999</v>
      </c>
      <c r="I111" s="45">
        <v>125.19</v>
      </c>
      <c r="J111" s="45">
        <v>120.51</v>
      </c>
      <c r="K111" s="45">
        <v>117</v>
      </c>
      <c r="L111" s="45">
        <v>116</v>
      </c>
    </row>
    <row r="112" spans="7:12" x14ac:dyDescent="0.3">
      <c r="G112" s="44" t="s">
        <v>152</v>
      </c>
      <c r="H112" s="45">
        <v>126.5</v>
      </c>
      <c r="I112" s="45">
        <v>123.05</v>
      </c>
      <c r="J112" s="45">
        <v>118.45</v>
      </c>
      <c r="K112" s="45">
        <v>115</v>
      </c>
      <c r="L112" s="45">
        <v>114</v>
      </c>
    </row>
    <row r="113" spans="7:12" x14ac:dyDescent="0.3">
      <c r="G113" s="44">
        <v>94700</v>
      </c>
      <c r="H113" s="45">
        <v>46.09</v>
      </c>
      <c r="I113" s="45">
        <v>44.83</v>
      </c>
      <c r="J113" s="45">
        <v>43.16</v>
      </c>
      <c r="K113" s="45">
        <v>41.9</v>
      </c>
      <c r="L113" s="45">
        <v>40.9</v>
      </c>
    </row>
    <row r="114" spans="7:12" x14ac:dyDescent="0.3">
      <c r="G114" s="44">
        <v>94701</v>
      </c>
      <c r="H114" s="45">
        <v>44.99</v>
      </c>
      <c r="I114" s="45">
        <v>43.76</v>
      </c>
      <c r="J114" s="45">
        <v>42.13</v>
      </c>
      <c r="K114" s="45">
        <v>40.9</v>
      </c>
      <c r="L114" s="45">
        <v>39.9</v>
      </c>
    </row>
    <row r="115" spans="7:12" x14ac:dyDescent="0.3">
      <c r="G115" s="44">
        <v>94702</v>
      </c>
      <c r="H115" s="45">
        <v>46.09</v>
      </c>
      <c r="I115" s="45">
        <v>44.83</v>
      </c>
      <c r="J115" s="45">
        <v>43.16</v>
      </c>
      <c r="K115" s="45">
        <v>41.9</v>
      </c>
      <c r="L115" s="45">
        <v>40.9</v>
      </c>
    </row>
    <row r="116" spans="7:12" x14ac:dyDescent="0.3">
      <c r="G116" s="44">
        <v>94703</v>
      </c>
      <c r="H116" s="45">
        <v>48.29</v>
      </c>
      <c r="I116" s="45">
        <v>46.97</v>
      </c>
      <c r="J116" s="45">
        <v>45.22</v>
      </c>
      <c r="K116" s="45">
        <v>43.9</v>
      </c>
      <c r="L116" s="45">
        <v>42.9</v>
      </c>
    </row>
    <row r="117" spans="7:12" x14ac:dyDescent="0.3">
      <c r="G117" s="44">
        <v>94704</v>
      </c>
      <c r="H117" s="45">
        <v>49.39</v>
      </c>
      <c r="I117" s="45">
        <v>48.04</v>
      </c>
      <c r="J117" s="45">
        <v>46.25</v>
      </c>
      <c r="K117" s="45">
        <v>44.9</v>
      </c>
      <c r="L117" s="45">
        <v>43.9</v>
      </c>
    </row>
    <row r="118" spans="7:12" x14ac:dyDescent="0.3">
      <c r="G118" s="44">
        <v>94705</v>
      </c>
      <c r="H118" s="45">
        <v>46.09</v>
      </c>
      <c r="I118" s="45">
        <v>44.83</v>
      </c>
      <c r="J118" s="45">
        <v>43.16</v>
      </c>
      <c r="K118" s="45">
        <v>41.9</v>
      </c>
      <c r="L118" s="45">
        <v>40.9</v>
      </c>
    </row>
    <row r="119" spans="7:12" x14ac:dyDescent="0.3">
      <c r="G119" s="44">
        <v>94708</v>
      </c>
      <c r="H119" s="45">
        <v>46.09</v>
      </c>
      <c r="I119" s="45">
        <v>44.83</v>
      </c>
      <c r="J119" s="45">
        <v>43.16</v>
      </c>
      <c r="K119" s="45">
        <v>41.9</v>
      </c>
      <c r="L119" s="45">
        <v>40.9</v>
      </c>
    </row>
    <row r="120" spans="7:12" x14ac:dyDescent="0.3">
      <c r="G120" s="44">
        <v>94710</v>
      </c>
      <c r="H120" s="45">
        <v>49.39</v>
      </c>
      <c r="I120" s="45">
        <v>48.04</v>
      </c>
      <c r="J120" s="45">
        <v>46.25</v>
      </c>
      <c r="K120" s="45">
        <v>44.9</v>
      </c>
      <c r="L120" s="45">
        <v>43.9</v>
      </c>
    </row>
    <row r="121" spans="7:12" x14ac:dyDescent="0.3">
      <c r="G121" s="44">
        <v>94712</v>
      </c>
      <c r="H121" s="45">
        <v>46.09</v>
      </c>
      <c r="I121" s="45">
        <v>44.83</v>
      </c>
      <c r="J121" s="45">
        <v>43.16</v>
      </c>
      <c r="K121" s="45">
        <v>41.9</v>
      </c>
      <c r="L121" s="45">
        <v>40.9</v>
      </c>
    </row>
    <row r="122" spans="7:12" x14ac:dyDescent="0.3">
      <c r="G122" s="44">
        <v>94714</v>
      </c>
      <c r="H122" s="45">
        <v>60.39</v>
      </c>
      <c r="I122" s="45">
        <v>58.74</v>
      </c>
      <c r="J122" s="45">
        <v>56.55</v>
      </c>
      <c r="K122" s="45">
        <v>54.9</v>
      </c>
      <c r="L122" s="45">
        <v>53.9</v>
      </c>
    </row>
    <row r="123" spans="7:12" x14ac:dyDescent="0.3">
      <c r="G123" s="44">
        <v>94716</v>
      </c>
      <c r="H123" s="45">
        <v>60.39</v>
      </c>
      <c r="I123" s="45">
        <v>58.74</v>
      </c>
      <c r="J123" s="45">
        <v>56.55</v>
      </c>
      <c r="K123" s="45">
        <v>54.9</v>
      </c>
      <c r="L123" s="45">
        <v>53.9</v>
      </c>
    </row>
    <row r="124" spans="7:12" x14ac:dyDescent="0.3">
      <c r="G124" s="44" t="s">
        <v>143</v>
      </c>
      <c r="H124" s="45">
        <v>57.09</v>
      </c>
      <c r="I124" s="45">
        <v>55.53</v>
      </c>
      <c r="J124" s="45">
        <v>53.46</v>
      </c>
      <c r="K124" s="45">
        <v>51.9</v>
      </c>
      <c r="L124" s="45">
        <v>50.9</v>
      </c>
    </row>
    <row r="125" spans="7:12" x14ac:dyDescent="0.3">
      <c r="G125" s="44" t="s">
        <v>144</v>
      </c>
      <c r="H125" s="45">
        <v>57.09</v>
      </c>
      <c r="I125" s="45">
        <v>55.53</v>
      </c>
      <c r="J125" s="45">
        <v>53.46</v>
      </c>
      <c r="K125" s="45">
        <v>51.9</v>
      </c>
      <c r="L125" s="45">
        <v>50.9</v>
      </c>
    </row>
    <row r="126" spans="7:12" x14ac:dyDescent="0.3">
      <c r="G126" s="44" t="s">
        <v>145</v>
      </c>
      <c r="H126" s="45">
        <v>61.49</v>
      </c>
      <c r="I126" s="45">
        <v>59.81</v>
      </c>
      <c r="J126" s="45">
        <v>57.58</v>
      </c>
      <c r="K126" s="45">
        <v>55.9</v>
      </c>
      <c r="L126" s="45">
        <v>54.9</v>
      </c>
    </row>
    <row r="127" spans="7:12" x14ac:dyDescent="0.3">
      <c r="G127" s="44" t="s">
        <v>146</v>
      </c>
      <c r="H127" s="45">
        <v>57.09</v>
      </c>
      <c r="I127" s="45">
        <v>55.53</v>
      </c>
      <c r="J127" s="45">
        <v>53.46</v>
      </c>
      <c r="K127" s="45">
        <v>51.9</v>
      </c>
      <c r="L127" s="45">
        <v>50.9</v>
      </c>
    </row>
    <row r="128" spans="7:12" x14ac:dyDescent="0.3">
      <c r="G128" s="44" t="s">
        <v>147</v>
      </c>
      <c r="H128" s="45">
        <v>66.989999999999995</v>
      </c>
      <c r="I128" s="45">
        <v>65.16</v>
      </c>
      <c r="J128" s="45">
        <v>62.73</v>
      </c>
      <c r="K128" s="45">
        <v>60.9</v>
      </c>
      <c r="L128" s="45">
        <v>59.9</v>
      </c>
    </row>
    <row r="129" spans="7:12" x14ac:dyDescent="0.3">
      <c r="G129" s="44" t="s">
        <v>148</v>
      </c>
      <c r="H129" s="45">
        <v>60.39</v>
      </c>
      <c r="I129" s="45">
        <v>58.74</v>
      </c>
      <c r="J129" s="45">
        <v>56.55</v>
      </c>
      <c r="K129" s="45">
        <v>54.9</v>
      </c>
      <c r="L129" s="45">
        <v>53.9</v>
      </c>
    </row>
    <row r="130" spans="7:12" x14ac:dyDescent="0.3">
      <c r="G130" s="44">
        <v>94718</v>
      </c>
      <c r="H130" s="45">
        <v>48.29</v>
      </c>
      <c r="I130" s="45">
        <v>46.97</v>
      </c>
      <c r="J130" s="45">
        <v>45.22</v>
      </c>
      <c r="K130" s="45">
        <v>43.9</v>
      </c>
      <c r="L130" s="45">
        <v>42.9</v>
      </c>
    </row>
    <row r="131" spans="7:12" x14ac:dyDescent="0.3">
      <c r="G131" s="44">
        <v>94720</v>
      </c>
      <c r="H131" s="45">
        <v>48.29</v>
      </c>
      <c r="I131" s="45">
        <v>46.97</v>
      </c>
      <c r="J131" s="45">
        <v>45.22</v>
      </c>
      <c r="K131" s="45">
        <v>43.9</v>
      </c>
      <c r="L131" s="45">
        <v>42.9</v>
      </c>
    </row>
    <row r="132" spans="7:12" x14ac:dyDescent="0.3">
      <c r="G132" s="44">
        <v>94721</v>
      </c>
      <c r="H132" s="45">
        <v>48.29</v>
      </c>
      <c r="I132" s="45">
        <v>46.97</v>
      </c>
      <c r="J132" s="45">
        <v>45.22</v>
      </c>
      <c r="K132" s="45">
        <v>43.9</v>
      </c>
      <c r="L132" s="45">
        <v>42.9</v>
      </c>
    </row>
    <row r="133" spans="7:12" x14ac:dyDescent="0.3">
      <c r="G133" s="44">
        <v>94722</v>
      </c>
      <c r="H133" s="45">
        <v>44.99</v>
      </c>
      <c r="I133" s="45">
        <v>43.76</v>
      </c>
      <c r="J133" s="45">
        <v>42.13</v>
      </c>
      <c r="K133" s="45">
        <v>40.9</v>
      </c>
      <c r="L133" s="45">
        <v>39.9</v>
      </c>
    </row>
    <row r="134" spans="7:12" x14ac:dyDescent="0.3">
      <c r="G134" s="44" t="s">
        <v>149</v>
      </c>
      <c r="H134" s="45">
        <v>60.39</v>
      </c>
      <c r="I134" s="45">
        <v>58.74</v>
      </c>
      <c r="J134" s="45">
        <v>56.55</v>
      </c>
      <c r="K134" s="45">
        <v>54.9</v>
      </c>
      <c r="L134" s="45">
        <v>53.9</v>
      </c>
    </row>
    <row r="135" spans="7:12" x14ac:dyDescent="0.3">
      <c r="G135" s="44" t="s">
        <v>150</v>
      </c>
      <c r="H135" s="45">
        <v>60.39</v>
      </c>
      <c r="I135" s="45">
        <v>58.74</v>
      </c>
      <c r="J135" s="45">
        <v>56.55</v>
      </c>
      <c r="K135" s="45">
        <v>54.9</v>
      </c>
      <c r="L135" s="45">
        <v>53.9</v>
      </c>
    </row>
    <row r="136" spans="7:12" x14ac:dyDescent="0.3">
      <c r="G136" s="44">
        <v>70674</v>
      </c>
      <c r="H136" s="45">
        <v>50.49</v>
      </c>
      <c r="I136" s="45">
        <v>49.11</v>
      </c>
      <c r="J136" s="45">
        <v>47.28</v>
      </c>
      <c r="K136" s="45">
        <v>45.9</v>
      </c>
      <c r="L136" s="45">
        <v>44.9</v>
      </c>
    </row>
    <row r="137" spans="7:12" x14ac:dyDescent="0.3">
      <c r="G137" s="44">
        <v>184700</v>
      </c>
      <c r="H137" s="45">
        <v>116.05</v>
      </c>
      <c r="I137" s="45">
        <v>112.89</v>
      </c>
      <c r="J137" s="45">
        <v>108.67</v>
      </c>
      <c r="K137" s="45">
        <v>105.5</v>
      </c>
      <c r="L137" s="45">
        <v>104.5</v>
      </c>
    </row>
    <row r="138" spans="7:12" x14ac:dyDescent="0.3">
      <c r="G138" s="44">
        <v>71400</v>
      </c>
      <c r="H138" s="45">
        <v>36.19</v>
      </c>
      <c r="I138" s="45">
        <v>35.200000000000003</v>
      </c>
      <c r="J138" s="45">
        <v>33.89</v>
      </c>
      <c r="K138" s="45">
        <v>32.9</v>
      </c>
      <c r="L138" s="45">
        <v>31.9</v>
      </c>
    </row>
    <row r="139" spans="7:12" x14ac:dyDescent="0.3">
      <c r="G139" s="44">
        <v>71401</v>
      </c>
      <c r="H139" s="45">
        <v>38.39</v>
      </c>
      <c r="I139" s="45">
        <v>37.340000000000003</v>
      </c>
      <c r="J139" s="45">
        <v>35.950000000000003</v>
      </c>
      <c r="K139" s="45">
        <v>34.9</v>
      </c>
      <c r="L139" s="45">
        <v>33.9</v>
      </c>
    </row>
    <row r="140" spans="7:12" x14ac:dyDescent="0.3">
      <c r="G140" s="44">
        <v>71402</v>
      </c>
      <c r="H140" s="45">
        <v>35.090000000000003</v>
      </c>
      <c r="I140" s="45">
        <v>34.130000000000003</v>
      </c>
      <c r="J140" s="45">
        <v>32.86</v>
      </c>
      <c r="K140" s="45">
        <v>31.9</v>
      </c>
      <c r="L140" s="45">
        <v>30.9</v>
      </c>
    </row>
    <row r="141" spans="7:12" x14ac:dyDescent="0.3">
      <c r="G141" s="44">
        <v>71403</v>
      </c>
      <c r="H141" s="45">
        <v>35.090000000000003</v>
      </c>
      <c r="I141" s="45">
        <v>34.130000000000003</v>
      </c>
      <c r="J141" s="45">
        <v>32.86</v>
      </c>
      <c r="K141" s="45">
        <v>31.9</v>
      </c>
      <c r="L141" s="45">
        <v>30.9</v>
      </c>
    </row>
    <row r="142" spans="7:12" x14ac:dyDescent="0.3">
      <c r="G142" s="44">
        <v>71404</v>
      </c>
      <c r="H142" s="45">
        <v>38.39</v>
      </c>
      <c r="I142" s="45">
        <v>37.340000000000003</v>
      </c>
      <c r="J142" s="45">
        <v>35.950000000000003</v>
      </c>
      <c r="K142" s="45">
        <v>34.9</v>
      </c>
      <c r="L142" s="45">
        <v>33.9</v>
      </c>
    </row>
    <row r="143" spans="7:12" x14ac:dyDescent="0.3">
      <c r="G143" s="44">
        <v>71405</v>
      </c>
      <c r="H143" s="45">
        <v>36.19</v>
      </c>
      <c r="I143" s="45">
        <v>35.200000000000003</v>
      </c>
      <c r="J143" s="45">
        <v>33.89</v>
      </c>
      <c r="K143" s="45">
        <v>32.9</v>
      </c>
      <c r="L143" s="45">
        <v>31.9</v>
      </c>
    </row>
    <row r="144" spans="7:12" x14ac:dyDescent="0.3">
      <c r="G144" s="44">
        <v>71406</v>
      </c>
      <c r="H144" s="45">
        <v>36.19</v>
      </c>
      <c r="I144" s="45">
        <v>35.200000000000003</v>
      </c>
      <c r="J144" s="45">
        <v>33.89</v>
      </c>
      <c r="K144" s="45">
        <v>32.9</v>
      </c>
      <c r="L144" s="45">
        <v>31.9</v>
      </c>
    </row>
    <row r="145" spans="7:12" x14ac:dyDescent="0.3">
      <c r="G145" s="44" t="s">
        <v>172</v>
      </c>
      <c r="H145" s="45">
        <v>46.09</v>
      </c>
      <c r="I145" s="45">
        <v>44.83</v>
      </c>
      <c r="J145" s="45">
        <v>43.16</v>
      </c>
      <c r="K145" s="45">
        <v>41.9</v>
      </c>
      <c r="L145" s="45">
        <v>40.9</v>
      </c>
    </row>
    <row r="146" spans="7:12" x14ac:dyDescent="0.3">
      <c r="G146" s="44" t="s">
        <v>173</v>
      </c>
      <c r="H146" s="45">
        <v>47.19</v>
      </c>
      <c r="I146" s="45">
        <v>45.9</v>
      </c>
      <c r="J146" s="45">
        <v>44.19</v>
      </c>
      <c r="K146" s="45">
        <v>42.9</v>
      </c>
      <c r="L146" s="45">
        <v>41.9</v>
      </c>
    </row>
    <row r="147" spans="7:12" x14ac:dyDescent="0.3">
      <c r="G147" s="44" t="s">
        <v>174</v>
      </c>
      <c r="H147" s="45">
        <v>48.29</v>
      </c>
      <c r="I147" s="45">
        <v>46.97</v>
      </c>
      <c r="J147" s="45">
        <v>45.22</v>
      </c>
      <c r="K147" s="45">
        <v>43.9</v>
      </c>
      <c r="L147" s="45">
        <v>42.9</v>
      </c>
    </row>
    <row r="148" spans="7:12" x14ac:dyDescent="0.3">
      <c r="G148" s="44">
        <v>70538</v>
      </c>
      <c r="H148" s="45">
        <v>41.69</v>
      </c>
      <c r="I148" s="45">
        <v>40.549999999999997</v>
      </c>
      <c r="J148" s="45">
        <v>39.04</v>
      </c>
      <c r="K148" s="45">
        <v>37.9</v>
      </c>
      <c r="L148" s="45">
        <v>36.9</v>
      </c>
    </row>
    <row r="149" spans="7:12" x14ac:dyDescent="0.3">
      <c r="G149" s="44">
        <v>70539</v>
      </c>
      <c r="H149" s="45">
        <v>41.69</v>
      </c>
      <c r="I149" s="45">
        <v>40.549999999999997</v>
      </c>
      <c r="J149" s="45">
        <v>39.04</v>
      </c>
      <c r="K149" s="45">
        <v>37.9</v>
      </c>
      <c r="L149" s="45">
        <v>36.9</v>
      </c>
    </row>
    <row r="150" spans="7:12" x14ac:dyDescent="0.3">
      <c r="G150" s="44">
        <v>70540</v>
      </c>
      <c r="H150" s="45">
        <v>41.69</v>
      </c>
      <c r="I150" s="45">
        <v>40.549999999999997</v>
      </c>
      <c r="J150" s="45">
        <v>39.04</v>
      </c>
      <c r="K150" s="45">
        <v>37.9</v>
      </c>
      <c r="L150" s="45">
        <v>36.9</v>
      </c>
    </row>
    <row r="151" spans="7:12" x14ac:dyDescent="0.3">
      <c r="G151" s="44">
        <v>73011</v>
      </c>
      <c r="H151" s="45">
        <v>64.790000000000006</v>
      </c>
      <c r="I151" s="45">
        <v>63.02</v>
      </c>
      <c r="J151" s="45">
        <v>60.67</v>
      </c>
      <c r="K151" s="45">
        <v>58.9</v>
      </c>
      <c r="L151" s="45">
        <v>57.9</v>
      </c>
    </row>
    <row r="152" spans="7:12" x14ac:dyDescent="0.3">
      <c r="G152" s="44">
        <v>70741</v>
      </c>
      <c r="H152" s="45">
        <v>49.39</v>
      </c>
      <c r="I152" s="45">
        <v>48.04</v>
      </c>
      <c r="J152" s="45">
        <v>46.25</v>
      </c>
      <c r="K152" s="45">
        <v>44.9</v>
      </c>
      <c r="L152" s="45">
        <v>43.9</v>
      </c>
    </row>
    <row r="153" spans="7:12" x14ac:dyDescent="0.3">
      <c r="G153" s="44">
        <v>70740</v>
      </c>
      <c r="H153" s="45">
        <v>49.39</v>
      </c>
      <c r="I153" s="45">
        <v>48.04</v>
      </c>
      <c r="J153" s="45">
        <v>46.25</v>
      </c>
      <c r="K153" s="45">
        <v>44.9</v>
      </c>
      <c r="L153" s="45">
        <v>43.9</v>
      </c>
    </row>
    <row r="154" spans="7:12" x14ac:dyDescent="0.3">
      <c r="G154" s="44">
        <v>70742</v>
      </c>
      <c r="H154" s="45">
        <v>47.19</v>
      </c>
      <c r="I154" s="45">
        <v>45.9</v>
      </c>
      <c r="J154" s="45">
        <v>44.19</v>
      </c>
      <c r="K154" s="45">
        <v>42.9</v>
      </c>
      <c r="L154" s="45">
        <v>41.9</v>
      </c>
    </row>
    <row r="155" spans="7:12" x14ac:dyDescent="0.3">
      <c r="G155" s="44" t="s">
        <v>186</v>
      </c>
      <c r="H155" s="45">
        <v>58.19</v>
      </c>
      <c r="I155" s="45">
        <v>56.6</v>
      </c>
      <c r="J155" s="45">
        <v>54.49</v>
      </c>
      <c r="K155" s="45">
        <v>52.9</v>
      </c>
      <c r="L155" s="45">
        <v>51.9</v>
      </c>
    </row>
    <row r="156" spans="7:12" x14ac:dyDescent="0.3">
      <c r="G156" s="44">
        <v>70676</v>
      </c>
      <c r="H156" s="45">
        <v>47.85</v>
      </c>
      <c r="I156" s="45">
        <v>46.55</v>
      </c>
      <c r="J156" s="45">
        <v>44.81</v>
      </c>
      <c r="K156" s="45">
        <v>43.5</v>
      </c>
      <c r="L156" s="45">
        <v>42.5</v>
      </c>
    </row>
    <row r="157" spans="7:12" x14ac:dyDescent="0.3">
      <c r="G157" s="44" t="s">
        <v>188</v>
      </c>
      <c r="H157" s="45">
        <v>91.19</v>
      </c>
      <c r="I157" s="45">
        <v>88.7</v>
      </c>
      <c r="J157" s="45">
        <v>85.39</v>
      </c>
      <c r="K157" s="45">
        <v>82.9</v>
      </c>
      <c r="L157" s="45">
        <v>81.900000000000006</v>
      </c>
    </row>
    <row r="158" spans="7:12" x14ac:dyDescent="0.3">
      <c r="G158" s="44">
        <v>73012</v>
      </c>
      <c r="H158" s="45">
        <v>66.989999999999995</v>
      </c>
      <c r="I158" s="45">
        <v>65.16</v>
      </c>
      <c r="J158" s="45">
        <v>62.73</v>
      </c>
      <c r="K158" s="45">
        <v>60.9</v>
      </c>
      <c r="L158" s="45">
        <v>59.9</v>
      </c>
    </row>
    <row r="159" spans="7:12" x14ac:dyDescent="0.3">
      <c r="G159" s="44">
        <v>70743</v>
      </c>
      <c r="H159" s="45">
        <v>57.09</v>
      </c>
      <c r="I159" s="45">
        <v>55.53</v>
      </c>
      <c r="J159" s="45">
        <v>53.46</v>
      </c>
      <c r="K159" s="45">
        <v>51.9</v>
      </c>
      <c r="L159" s="45">
        <v>50.9</v>
      </c>
    </row>
    <row r="160" spans="7:12" x14ac:dyDescent="0.3">
      <c r="G160" s="44">
        <v>70744</v>
      </c>
      <c r="H160" s="45">
        <v>50.49</v>
      </c>
      <c r="I160" s="45">
        <v>49.11</v>
      </c>
      <c r="J160" s="45">
        <v>47.28</v>
      </c>
      <c r="K160" s="45">
        <v>45.9</v>
      </c>
      <c r="L160" s="45">
        <v>44.9</v>
      </c>
    </row>
    <row r="161" spans="7:12" x14ac:dyDescent="0.3">
      <c r="G161" s="44">
        <v>70541</v>
      </c>
      <c r="H161" s="45">
        <v>41.69</v>
      </c>
      <c r="I161" s="45">
        <v>40.549999999999997</v>
      </c>
      <c r="J161" s="45">
        <v>39.04</v>
      </c>
      <c r="K161" s="45">
        <v>37.9</v>
      </c>
      <c r="L161" s="45">
        <v>36.9</v>
      </c>
    </row>
    <row r="162" spans="7:12" x14ac:dyDescent="0.3">
      <c r="G162" s="44">
        <v>70542</v>
      </c>
      <c r="H162" s="45">
        <v>42.79</v>
      </c>
      <c r="I162" s="45">
        <v>41.62</v>
      </c>
      <c r="J162" s="45">
        <v>40.07</v>
      </c>
      <c r="K162" s="45">
        <v>38.9</v>
      </c>
      <c r="L162" s="45">
        <v>37.9</v>
      </c>
    </row>
    <row r="163" spans="7:12" x14ac:dyDescent="0.3">
      <c r="G163" s="44" t="s">
        <v>220</v>
      </c>
      <c r="H163" s="45">
        <v>95.59</v>
      </c>
      <c r="I163" s="45">
        <v>92.98</v>
      </c>
      <c r="J163" s="45">
        <v>89.51</v>
      </c>
      <c r="K163" s="45">
        <v>86.9</v>
      </c>
      <c r="L163" s="45">
        <v>85.9</v>
      </c>
    </row>
    <row r="164" spans="7:12" x14ac:dyDescent="0.3">
      <c r="G164" s="44">
        <v>73013</v>
      </c>
      <c r="H164" s="45">
        <v>73.59</v>
      </c>
      <c r="I164" s="45">
        <v>71.58</v>
      </c>
      <c r="J164" s="45">
        <v>68.91</v>
      </c>
      <c r="K164" s="45">
        <v>66.900000000000006</v>
      </c>
      <c r="L164" s="45">
        <v>65.900000000000006</v>
      </c>
    </row>
    <row r="165" spans="7:12" x14ac:dyDescent="0.3">
      <c r="G165" s="44" t="s">
        <v>237</v>
      </c>
      <c r="H165" s="45">
        <v>74.69</v>
      </c>
      <c r="I165" s="45">
        <v>72.650000000000006</v>
      </c>
      <c r="J165" s="45">
        <v>69.94</v>
      </c>
      <c r="K165" s="45">
        <v>67.900000000000006</v>
      </c>
      <c r="L165" s="45">
        <v>66.900000000000006</v>
      </c>
    </row>
    <row r="166" spans="7:12" x14ac:dyDescent="0.3">
      <c r="G166" s="44" t="s">
        <v>207</v>
      </c>
      <c r="H166" s="45">
        <v>74.69</v>
      </c>
      <c r="I166" s="45">
        <v>72.650000000000006</v>
      </c>
      <c r="J166" s="45">
        <v>69.94</v>
      </c>
      <c r="K166" s="45">
        <v>67.900000000000006</v>
      </c>
      <c r="L166" s="45">
        <v>66.900000000000006</v>
      </c>
    </row>
    <row r="167" spans="7:12" x14ac:dyDescent="0.3">
      <c r="G167" s="44" t="s">
        <v>210</v>
      </c>
      <c r="H167" s="45">
        <v>74.69</v>
      </c>
      <c r="I167" s="45">
        <v>72.650000000000006</v>
      </c>
      <c r="J167" s="45">
        <v>69.94</v>
      </c>
      <c r="K167" s="45">
        <v>67.900000000000006</v>
      </c>
      <c r="L167" s="45">
        <v>66.900000000000006</v>
      </c>
    </row>
    <row r="168" spans="7:12" x14ac:dyDescent="0.3">
      <c r="G168" s="44" t="s">
        <v>212</v>
      </c>
      <c r="H168" s="45">
        <v>70.290000000000006</v>
      </c>
      <c r="I168" s="45">
        <v>68.37</v>
      </c>
      <c r="J168" s="45">
        <v>65.819999999999993</v>
      </c>
      <c r="K168" s="45">
        <v>63.9</v>
      </c>
      <c r="L168" s="45">
        <v>62.9</v>
      </c>
    </row>
    <row r="169" spans="7:12" x14ac:dyDescent="0.3">
      <c r="G169" s="44" t="s">
        <v>213</v>
      </c>
      <c r="H169" s="45">
        <v>64.790000000000006</v>
      </c>
      <c r="I169" s="45">
        <v>63.02</v>
      </c>
      <c r="J169" s="45">
        <v>60.67</v>
      </c>
      <c r="K169" s="45">
        <v>58.9</v>
      </c>
      <c r="L169" s="45">
        <v>57.9</v>
      </c>
    </row>
    <row r="170" spans="7:12" x14ac:dyDescent="0.3">
      <c r="G170" s="44">
        <v>70680</v>
      </c>
      <c r="H170" s="45">
        <v>45.65</v>
      </c>
      <c r="I170" s="45">
        <v>44.41</v>
      </c>
      <c r="J170" s="45">
        <v>42.75</v>
      </c>
      <c r="K170" s="45">
        <v>41.5</v>
      </c>
      <c r="L170" s="45">
        <v>40.5</v>
      </c>
    </row>
    <row r="171" spans="7:12" x14ac:dyDescent="0.3">
      <c r="G171" s="44">
        <v>70681</v>
      </c>
      <c r="H171" s="45">
        <v>45.65</v>
      </c>
      <c r="I171" s="45">
        <v>44.41</v>
      </c>
      <c r="J171" s="45">
        <v>42.75</v>
      </c>
      <c r="K171" s="45">
        <v>41.5</v>
      </c>
      <c r="L171" s="45">
        <v>40.5</v>
      </c>
    </row>
    <row r="172" spans="7:12" x14ac:dyDescent="0.3">
      <c r="G172" s="44">
        <v>70682</v>
      </c>
      <c r="H172" s="45">
        <v>65.89</v>
      </c>
      <c r="I172" s="45">
        <v>64.09</v>
      </c>
      <c r="J172" s="45">
        <v>61.7</v>
      </c>
      <c r="K172" s="45">
        <v>59.9</v>
      </c>
      <c r="L172" s="45">
        <v>58.9</v>
      </c>
    </row>
    <row r="173" spans="7:12" x14ac:dyDescent="0.3">
      <c r="G173" s="44">
        <v>70683</v>
      </c>
      <c r="H173" s="45">
        <v>65.89</v>
      </c>
      <c r="I173" s="45">
        <v>64.09</v>
      </c>
      <c r="J173" s="45">
        <v>61.7</v>
      </c>
      <c r="K173" s="45">
        <v>59.9</v>
      </c>
      <c r="L173" s="45">
        <v>58.9</v>
      </c>
    </row>
    <row r="174" spans="7:12" x14ac:dyDescent="0.3">
      <c r="G174" s="44">
        <v>70684</v>
      </c>
      <c r="H174" s="45">
        <v>55.99</v>
      </c>
      <c r="I174" s="45">
        <v>54.46</v>
      </c>
      <c r="J174" s="45">
        <v>52.43</v>
      </c>
      <c r="K174" s="45">
        <v>50.9</v>
      </c>
      <c r="L174" s="45">
        <v>49.9</v>
      </c>
    </row>
    <row r="175" spans="7:12" x14ac:dyDescent="0.3">
      <c r="G175" s="44">
        <v>70543</v>
      </c>
      <c r="H175" s="45">
        <v>44.99</v>
      </c>
      <c r="I175" s="45">
        <v>43.76</v>
      </c>
      <c r="J175" s="45">
        <v>42.13</v>
      </c>
      <c r="K175" s="45">
        <v>40.9</v>
      </c>
      <c r="L175" s="45">
        <v>39.9</v>
      </c>
    </row>
    <row r="176" spans="7:12" x14ac:dyDescent="0.3">
      <c r="G176" s="44">
        <v>94723</v>
      </c>
      <c r="H176" s="45">
        <v>50.49</v>
      </c>
      <c r="I176" s="45">
        <v>49.11</v>
      </c>
      <c r="J176" s="45">
        <v>47.28</v>
      </c>
      <c r="K176" s="45">
        <v>45.9</v>
      </c>
      <c r="L176" s="45">
        <v>44.9</v>
      </c>
    </row>
    <row r="177" spans="7:12" x14ac:dyDescent="0.3">
      <c r="G177" s="44" t="s">
        <v>216</v>
      </c>
      <c r="H177" s="45">
        <v>61.49</v>
      </c>
      <c r="I177" s="45">
        <v>59.81</v>
      </c>
      <c r="J177" s="45">
        <v>57.58</v>
      </c>
      <c r="K177" s="45">
        <v>55.9</v>
      </c>
      <c r="L177" s="45">
        <v>54.9</v>
      </c>
    </row>
    <row r="178" spans="7:12" x14ac:dyDescent="0.3">
      <c r="G178" s="44">
        <v>73726</v>
      </c>
      <c r="H178" s="45">
        <v>59.29</v>
      </c>
      <c r="I178" s="45">
        <v>57.67</v>
      </c>
      <c r="J178" s="45">
        <v>55.52</v>
      </c>
      <c r="K178" s="45">
        <v>53.9</v>
      </c>
      <c r="L178" s="45">
        <v>52.9</v>
      </c>
    </row>
    <row r="179" spans="7:12" x14ac:dyDescent="0.3">
      <c r="G179" s="44">
        <v>94725</v>
      </c>
      <c r="H179" s="45">
        <v>50.49</v>
      </c>
      <c r="I179" s="45">
        <v>49.11</v>
      </c>
      <c r="J179" s="45">
        <v>47.28</v>
      </c>
      <c r="K179" s="45">
        <v>45.9</v>
      </c>
      <c r="L179" s="45">
        <v>44.9</v>
      </c>
    </row>
    <row r="180" spans="7:12" x14ac:dyDescent="0.3">
      <c r="G180" s="44">
        <v>73727</v>
      </c>
      <c r="H180" s="45">
        <v>57.09</v>
      </c>
      <c r="I180" s="45">
        <v>55.53</v>
      </c>
      <c r="J180" s="45">
        <v>53.46</v>
      </c>
      <c r="K180" s="45">
        <v>51.9</v>
      </c>
      <c r="L180" s="45">
        <v>50.9</v>
      </c>
    </row>
    <row r="181" spans="7:12" x14ac:dyDescent="0.3">
      <c r="G181" s="44">
        <v>73728</v>
      </c>
      <c r="H181" s="45">
        <v>62.59</v>
      </c>
      <c r="I181" s="45">
        <v>60.88</v>
      </c>
      <c r="J181" s="45">
        <v>58.61</v>
      </c>
      <c r="K181" s="45">
        <v>56.9</v>
      </c>
      <c r="L181" s="45">
        <v>55.9</v>
      </c>
    </row>
    <row r="182" spans="7:12" x14ac:dyDescent="0.3">
      <c r="G182" s="44">
        <v>73729</v>
      </c>
      <c r="H182" s="45">
        <v>62.59</v>
      </c>
      <c r="I182" s="45">
        <v>60.88</v>
      </c>
      <c r="J182" s="45">
        <v>58.61</v>
      </c>
      <c r="K182" s="45">
        <v>56.9</v>
      </c>
      <c r="L182" s="45">
        <v>55.9</v>
      </c>
    </row>
    <row r="183" spans="7:12" x14ac:dyDescent="0.3">
      <c r="G183" s="44">
        <v>70687</v>
      </c>
      <c r="H183" s="45">
        <v>62.59</v>
      </c>
      <c r="I183" s="45">
        <v>60.88</v>
      </c>
      <c r="J183" s="45">
        <v>58.61</v>
      </c>
      <c r="K183" s="45">
        <v>56.9</v>
      </c>
      <c r="L183" s="45">
        <v>55.9</v>
      </c>
    </row>
    <row r="184" spans="7:12" x14ac:dyDescent="0.3">
      <c r="G184" s="44">
        <v>71407</v>
      </c>
      <c r="H184" s="45">
        <v>36.19</v>
      </c>
      <c r="I184" s="45">
        <v>35.200000000000003</v>
      </c>
      <c r="J184" s="45">
        <v>33.89</v>
      </c>
      <c r="K184" s="45">
        <v>32.9</v>
      </c>
      <c r="L184" s="45">
        <v>31.9</v>
      </c>
    </row>
    <row r="185" spans="7:12" x14ac:dyDescent="0.3">
      <c r="G185" s="44" t="s">
        <v>227</v>
      </c>
      <c r="H185" s="45">
        <v>48.29</v>
      </c>
      <c r="I185" s="45">
        <v>46.97</v>
      </c>
      <c r="J185" s="45">
        <v>45.22</v>
      </c>
      <c r="K185" s="45">
        <v>43.9</v>
      </c>
      <c r="L185" s="45">
        <v>42.9</v>
      </c>
    </row>
    <row r="186" spans="7:12" x14ac:dyDescent="0.3">
      <c r="G186" s="44" t="s">
        <v>231</v>
      </c>
      <c r="H186" s="45">
        <v>60.39</v>
      </c>
      <c r="I186" s="45">
        <v>58.74</v>
      </c>
      <c r="J186" s="45">
        <v>56.55</v>
      </c>
      <c r="K186" s="45">
        <v>54.9</v>
      </c>
      <c r="L186" s="45">
        <v>53.9</v>
      </c>
    </row>
    <row r="187" spans="7:12" x14ac:dyDescent="0.3">
      <c r="G187" s="44">
        <v>73014</v>
      </c>
      <c r="H187" s="45">
        <v>66.989999999999995</v>
      </c>
      <c r="I187" s="45">
        <v>65.16</v>
      </c>
      <c r="J187" s="45">
        <v>62.73</v>
      </c>
      <c r="K187" s="45">
        <v>60.9</v>
      </c>
      <c r="L187" s="45">
        <v>59.9</v>
      </c>
    </row>
    <row r="188" spans="7:12" x14ac:dyDescent="0.3">
      <c r="G188" s="44">
        <v>73731</v>
      </c>
      <c r="H188" s="45">
        <v>65.89</v>
      </c>
      <c r="I188" s="45">
        <v>64.09</v>
      </c>
      <c r="J188" s="45">
        <v>61.7</v>
      </c>
      <c r="K188" s="45">
        <v>59.9</v>
      </c>
      <c r="L188" s="45">
        <v>58.9</v>
      </c>
    </row>
    <row r="189" spans="7:12" x14ac:dyDescent="0.3">
      <c r="G189" s="44">
        <v>73015</v>
      </c>
      <c r="H189" s="45">
        <v>73.59</v>
      </c>
      <c r="I189" s="45">
        <v>71.58</v>
      </c>
      <c r="J189" s="45">
        <v>68.91</v>
      </c>
      <c r="K189" s="45">
        <v>66.900000000000006</v>
      </c>
      <c r="L189" s="45">
        <v>65.900000000000006</v>
      </c>
    </row>
    <row r="190" spans="7:12" x14ac:dyDescent="0.3">
      <c r="G190" s="47">
        <v>94727</v>
      </c>
      <c r="H190" s="48">
        <v>44.99</v>
      </c>
      <c r="I190" s="48">
        <v>43.76</v>
      </c>
      <c r="J190" s="48">
        <v>42.13</v>
      </c>
      <c r="K190" s="48">
        <v>40.9</v>
      </c>
      <c r="L190" s="48">
        <v>39.9</v>
      </c>
    </row>
    <row r="191" spans="7:12" x14ac:dyDescent="0.3">
      <c r="G191" s="47">
        <v>71408</v>
      </c>
      <c r="H191" s="48">
        <v>35.090000000000003</v>
      </c>
      <c r="I191" s="48">
        <v>34.130000000000003</v>
      </c>
      <c r="J191" s="48">
        <v>32.86</v>
      </c>
      <c r="K191" s="48">
        <v>31.9</v>
      </c>
      <c r="L191" s="48">
        <v>30.9</v>
      </c>
    </row>
    <row r="192" spans="7:12" x14ac:dyDescent="0.3">
      <c r="G192" s="47">
        <v>71409</v>
      </c>
      <c r="H192" s="48">
        <v>37.29</v>
      </c>
      <c r="I192" s="48">
        <v>36.270000000000003</v>
      </c>
      <c r="J192" s="48">
        <v>34.92</v>
      </c>
      <c r="K192" s="48">
        <v>33.9</v>
      </c>
      <c r="L192" s="48">
        <v>32.9</v>
      </c>
    </row>
    <row r="193" spans="7:12" x14ac:dyDescent="0.3">
      <c r="G193" s="47">
        <v>71410</v>
      </c>
      <c r="H193" s="48">
        <v>35.090000000000003</v>
      </c>
      <c r="I193" s="48">
        <v>34.130000000000003</v>
      </c>
      <c r="J193" s="48">
        <v>32.86</v>
      </c>
      <c r="K193" s="48">
        <v>31.9</v>
      </c>
      <c r="L193" s="48">
        <v>30.9</v>
      </c>
    </row>
    <row r="194" spans="7:12" x14ac:dyDescent="0.3">
      <c r="G194" s="47">
        <v>71411</v>
      </c>
      <c r="H194" s="48">
        <v>37.29</v>
      </c>
      <c r="I194" s="48">
        <v>36.270000000000003</v>
      </c>
      <c r="J194" s="48">
        <v>34.92</v>
      </c>
      <c r="K194" s="48">
        <v>33.9</v>
      </c>
      <c r="L194" s="48">
        <v>32.9</v>
      </c>
    </row>
    <row r="195" spans="7:12" x14ac:dyDescent="0.3">
      <c r="G195" s="47">
        <v>71412</v>
      </c>
      <c r="H195" s="48">
        <v>35.090000000000003</v>
      </c>
      <c r="I195" s="48">
        <v>34.130000000000003</v>
      </c>
      <c r="J195" s="48">
        <v>32.86</v>
      </c>
      <c r="K195" s="48">
        <v>31.9</v>
      </c>
      <c r="L195" s="48">
        <v>30.9</v>
      </c>
    </row>
    <row r="196" spans="7:12" x14ac:dyDescent="0.3">
      <c r="G196" s="47">
        <v>71413</v>
      </c>
      <c r="H196" s="48">
        <v>37.29</v>
      </c>
      <c r="I196" s="48">
        <v>36.270000000000003</v>
      </c>
      <c r="J196" s="48">
        <v>34.92</v>
      </c>
      <c r="K196" s="48">
        <v>33.9</v>
      </c>
      <c r="L196" s="48">
        <v>32.9</v>
      </c>
    </row>
    <row r="197" spans="7:12" x14ac:dyDescent="0.3">
      <c r="G197" s="47">
        <v>94728</v>
      </c>
      <c r="H197" s="48">
        <v>50.49</v>
      </c>
      <c r="I197" s="48">
        <v>49.11</v>
      </c>
      <c r="J197" s="48">
        <v>47.28</v>
      </c>
      <c r="K197" s="48">
        <v>45.9</v>
      </c>
      <c r="L197" s="48">
        <v>44.9</v>
      </c>
    </row>
    <row r="198" spans="7:12" x14ac:dyDescent="0.3">
      <c r="G198" s="47">
        <v>94729</v>
      </c>
      <c r="H198" s="48">
        <v>50.49</v>
      </c>
      <c r="I198" s="48">
        <v>49.11</v>
      </c>
      <c r="J198" s="48">
        <v>47.28</v>
      </c>
      <c r="K198" s="48">
        <v>45.9</v>
      </c>
      <c r="L198" s="48">
        <v>44.9</v>
      </c>
    </row>
    <row r="199" spans="7:12" x14ac:dyDescent="0.3">
      <c r="G199" s="44">
        <v>70527</v>
      </c>
      <c r="H199" s="45">
        <v>39.49</v>
      </c>
      <c r="I199" s="45">
        <v>38.409999999999997</v>
      </c>
      <c r="J199" s="45">
        <v>36.979999999999997</v>
      </c>
      <c r="K199" s="45">
        <v>35.9</v>
      </c>
      <c r="L199" s="45">
        <v>34.9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Tabela Geral NP</vt:lpstr>
      <vt:lpstr>Mosaic</vt:lpstr>
      <vt:lpstr>Planilha1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Luvizaro</dc:creator>
  <cp:lastModifiedBy>Luciano Dias</cp:lastModifiedBy>
  <cp:lastPrinted>2025-01-15T12:41:38Z</cp:lastPrinted>
  <dcterms:created xsi:type="dcterms:W3CDTF">2022-06-06T13:51:33Z</dcterms:created>
  <dcterms:modified xsi:type="dcterms:W3CDTF">2025-09-11T14:59:06Z</dcterms:modified>
</cp:coreProperties>
</file>